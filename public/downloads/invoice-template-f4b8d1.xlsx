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Invoice" state="visible" r:id="rId5"/>
    <sheet sheetId="3" name="Payment Tracker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E35" authorId="0">
      <text>
        <r>
          <t>Enter your local sales tax rate (e.g. 0.08 for 8%). Set to 0% if labor-only or tax-exempt.</t>
        </r>
      </text>
    </comment>
    <comment ref="E37" authorId="0">
      <text>
        <r>
          <t>Enter deposits or prior payments received. This amount is subtracted from the total.</t>
        </r>
      </text>
    </comment>
  </commentList>
</comments>
</file>

<file path=xl/sharedStrings.xml><?xml version="1.0" encoding="utf-8"?>
<sst xmlns="http://schemas.openxmlformats.org/spreadsheetml/2006/main" count="150" uniqueCount="119">
  <si>
    <t>📋 HOW TO USE: Concrete Invoice Template</t>
  </si>
  <si>
    <t>ABOUT THIS TEMPLATE</t>
  </si>
  <si>
    <t>Professional concrete invoice template with auto-calculating line items, tax, and totals. Send polished invoices that get you paid faster. Includes payment tracking and terms.</t>
  </si>
  <si>
    <t>STEP-BY-STEP INSTRUCTIONS</t>
  </si>
  <si>
    <t>1.</t>
  </si>
  <si>
    <t>Go to the 'Invoice' sheet</t>
  </si>
  <si>
    <t>2.</t>
  </si>
  <si>
    <t>Fill in your company information at the top (name, address, phone, email, license #)</t>
  </si>
  <si>
    <t>3.</t>
  </si>
  <si>
    <t>Enter the client's name, address, phone, and email in the CLIENT section</t>
  </si>
  <si>
    <t>4.</t>
  </si>
  <si>
    <t>Set the Invoice #, Invoice Date, Due Date, and Project Address</t>
  </si>
  <si>
    <t>5.</t>
  </si>
  <si>
    <t>Add line items: description, quantity, unit, and rate — the Amount column auto-calculates</t>
  </si>
  <si>
    <t>6.</t>
  </si>
  <si>
    <t>Review the Subtotal, Tax Rate (adjust if needed), Tax Amount, and Total — all auto-calculated</t>
  </si>
  <si>
    <t>7.</t>
  </si>
  <si>
    <t>Add payment terms and any notes/conditions at the bottom</t>
  </si>
  <si>
    <t>8.</t>
  </si>
  <si>
    <t>Print or save as PDF to send to your client</t>
  </si>
  <si>
    <t>9.</t>
  </si>
  <si>
    <t>Use the 'Payment Tracker' sheet to track payments across multiple invoices</t>
  </si>
  <si>
    <t>🟡 YELLOW CELLS = Editable (enter your data here)</t>
  </si>
  <si>
    <t>📊 CELLS WITH FORMULAS (don't overwrite): Amount column (E), Subtotal, Tax Amount, Total, Balance Due</t>
  </si>
  <si>
    <t>✏️ EDITABLE CELLS: All yellow cells — company info, client info, line items (description, qty, unit, rate), tax rate, payment terms, notes</t>
  </si>
  <si>
    <t>💡 PRO TIPS — GET PAID FASTER</t>
  </si>
  <si>
    <t xml:space="preserve">  💡 Send invoices the SAME DAY the work is completed — every day you wait reduces your chance of on-time payment</t>
  </si>
  <si>
    <t xml:space="preserve">  💡 Include a clear due date (Net 15 or Net 30) and a late fee clause — contractors who don't get ghosted on payments</t>
  </si>
  <si>
    <t xml:space="preserve">  💡 Add a 2% discount for payment within 10 days — many clients will pay early to save money</t>
  </si>
  <si>
    <t xml:space="preserve">  💡 Always include your license # and insurance info — it builds trust and looks professional</t>
  </si>
  <si>
    <t xml:space="preserve">  💡 For large jobs, invoice in stages (deposit, progress, final) — don't wait until the end for full payment</t>
  </si>
  <si>
    <t xml:space="preserve">  💡 Keep a copy of every invoice in your records — you'll need them for taxes and in case of disputes</t>
  </si>
  <si>
    <t>TIPS FOR PRINTING / PDF EXPORT</t>
  </si>
  <si>
    <t>• File &gt; Print or Ctrl+P to print</t>
  </si>
  <si>
    <t>• Set to 'Fit Sheet on One Page' for best results</t>
  </si>
  <si>
    <t>• Use 'Portrait' orientation for invoices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</si>
  <si>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</si>
  <si>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</si>
  <si>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</si>
  <si>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</si>
  <si>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[YOUR COMPANY NAME]</t>
  </si>
  <si>
    <t>[Street Address]</t>
  </si>
  <si>
    <t>[City, State ZIP] • [Phone] • [Email]</t>
  </si>
  <si>
    <t>License #: [Your License Number]  •  Insured &amp; Bonded</t>
  </si>
  <si>
    <t>INVOICE</t>
  </si>
  <si>
    <t>Invoice #:</t>
  </si>
  <si>
    <t>INV-001</t>
  </si>
  <si>
    <t>Invoice Date:</t>
  </si>
  <si>
    <t>March 8, 2026</t>
  </si>
  <si>
    <t>Project Address:</t>
  </si>
  <si>
    <t>[Project Address]</t>
  </si>
  <si>
    <t>Due Date:</t>
  </si>
  <si>
    <t>Net 30</t>
  </si>
  <si>
    <t>BILL TO</t>
  </si>
  <si>
    <t>Name:</t>
  </si>
  <si>
    <t>[Client Name]</t>
  </si>
  <si>
    <t>Address:</t>
  </si>
  <si>
    <t>[Client Address]</t>
  </si>
  <si>
    <t>Phone:</t>
  </si>
  <si>
    <t>[Client Phone]</t>
  </si>
  <si>
    <t>Email:</t>
  </si>
  <si>
    <t>[Client Email]</t>
  </si>
  <si>
    <t>Description</t>
  </si>
  <si>
    <t>Qty</t>
  </si>
  <si>
    <t>Unit</t>
  </si>
  <si>
    <t>Rate</t>
  </si>
  <si>
    <t>Amount</t>
  </si>
  <si>
    <t>Concrete (ready-mix 4000 PSI)</t>
  </si>
  <si>
    <t>CY</t>
  </si>
  <si>
    <t>Gravel base material &amp; delivery</t>
  </si>
  <si>
    <t>Tons</t>
  </si>
  <si>
    <t>Rebar (#4 bar)</t>
  </si>
  <si>
    <t>LF</t>
  </si>
  <si>
    <t>Formwork installation &amp; materials</t>
  </si>
  <si>
    <t>Lot</t>
  </si>
  <si>
    <t>Site prep, grading &amp; excavation</t>
  </si>
  <si>
    <t>Hrs</t>
  </si>
  <si>
    <t>Concrete placement &amp; finishing</t>
  </si>
  <si>
    <t>Sealer application</t>
  </si>
  <si>
    <t>Equipment rental (compactor, vibrator)</t>
  </si>
  <si>
    <t>Cleanup &amp; debris removal</t>
  </si>
  <si>
    <t/>
  </si>
  <si>
    <t>Subtotal:</t>
  </si>
  <si>
    <t>Tax Rate:</t>
  </si>
  <si>
    <t>Tax Amount:</t>
  </si>
  <si>
    <t>Payments/Credits:</t>
  </si>
  <si>
    <t>TOTAL DUE:</t>
  </si>
  <si>
    <t>PAYMENT TERMS</t>
  </si>
  <si>
    <t>• Payment is due within 30 days of invoice date unless otherwise agreed</t>
  </si>
  <si>
    <t>• Accepted payment methods: Check, ACH/Bank Transfer, Credit Card</t>
  </si>
  <si>
    <t>• A late fee of 1.5% per month will be applied to overdue balances</t>
  </si>
  <si>
    <t>• 2% discount available for payment within 10 days (2/10 Net 30)</t>
  </si>
  <si>
    <t>• Make checks payable to: [YOUR COMPANY NAME]</t>
  </si>
  <si>
    <t>NOTES / CONDITIONS</t>
  </si>
  <si>
    <t>[Add any project-specific notes, warranty info, or special conditions here]</t>
  </si>
  <si>
    <t>Thank you for your business!</t>
  </si>
  <si>
    <t>Template from EstimateConcrete.com — Professional Concrete Tools</t>
  </si>
  <si>
    <t>💰 PAYMENT TRACKER</t>
  </si>
  <si>
    <t>Track all invoices and payments in one place. Never lose track of who owes you money.</t>
  </si>
  <si>
    <t>#</t>
  </si>
  <si>
    <t>Invoice #</t>
  </si>
  <si>
    <t>Invoice Date</t>
  </si>
  <si>
    <t>Client Name</t>
  </si>
  <si>
    <t>Invoice Amount</t>
  </si>
  <si>
    <t>Paid Amount</t>
  </si>
  <si>
    <t>Balance</t>
  </si>
  <si>
    <t>Status</t>
  </si>
  <si>
    <t>Paid Date</t>
  </si>
  <si>
    <t>Notes</t>
  </si>
  <si>
    <t>TOTALS</t>
  </si>
  <si>
    <t>SUMMARY BY STATUS</t>
  </si>
  <si>
    <t>Count</t>
  </si>
  <si>
    <t>Sent</t>
  </si>
  <si>
    <t>Paid</t>
  </si>
  <si>
    <t>Partial</t>
  </si>
  <si>
    <t>Overdue</t>
  </si>
  <si>
    <t>Disputed</t>
  </si>
  <si>
    <t>Written Off</t>
  </si>
  <si>
    <t>💡 Follow up on 'Sent' invoices after 7 days. Follow up on 'Overdue' invoices weekly with a phone call.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</si>
</sst>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1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20"/>
    </font>
    <font>
      <color rgb="FF94A3B8"/>
      <sz val="9"/>
    </font>
    <font>
      <b/>
      <color rgb="FF1E293B"/>
      <sz val="18"/>
    </font>
    <font>
      <b/>
      <color rgb="FFFFFFFF"/>
      <sz val="11"/>
    </font>
    <font>
      <b/>
    </font>
    <font>
      <b/>
      <color rgb="FFFFFFFF"/>
      <sz val="14"/>
    </font>
    <font>
      <sz val="9"/>
    </font>
    <font>
      <i/>
      <color rgb="FF94A3B8"/>
      <sz val="10"/>
    </font>
    <font>
      <b/>
      <color rgb="FF1E293B"/>
      <sz val="11"/>
    </font>
    <font>
      <color rgb="FF94A3B8"/>
      <sz val="8"/>
    </font>
    <font>
      <b/>
      <color rgb="FF2563EB"/>
      <sz val="10"/>
    </font>
  </fonts>
  <fills count="7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1E293B"/>
      </patternFill>
    </fill>
    <fill>
      <patternFill patternType="solid">
        <fgColor rgb="FF10B981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2" fillId="3" borderId="0" xfId="0" applyFont="1" applyFill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/>
    </xf>
    <xf numFmtId="0" fontId="9" fillId="2" borderId="0" xfId="0" applyFont="1" applyFill="1"/>
    <xf numFmtId="0" fontId="11" fillId="2" borderId="0" xfId="0" applyFont="1" applyFill="1"/>
    <xf numFmtId="0" fontId="12" fillId="0" borderId="0" xfId="0" applyFont="1" applyAlignment="1">
      <alignment horizontal="center"/>
    </xf>
    <xf numFmtId="0" fontId="4" fillId="0" borderId="0" xfId="0" applyFont="1"/>
    <xf numFmtId="0" fontId="0" fillId="2" borderId="1" xfId="0" applyFill="1" applyBorder="1"/>
    <xf numFmtId="0" fontId="13" fillId="4" borderId="1" xfId="0" applyFont="1" applyFill="1" applyBorder="1"/>
    <xf numFmtId="0" fontId="4" fillId="0" borderId="1" xfId="0" applyFont="1" applyBorder="1"/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164" fontId="0" fillId="0" borderId="1" xfId="0" applyNumberFormat="1" applyBorder="1"/>
    <xf numFmtId="0" fontId="4" fillId="0" borderId="1" xfId="0" applyFont="1" applyBorder="1" applyAlignment="1">
      <alignment horizontal="right"/>
    </xf>
    <xf numFmtId="164" fontId="14" fillId="0" borderId="1" xfId="0" applyNumberFormat="1" applyFont="1" applyBorder="1"/>
    <xf numFmtId="9" fontId="0" fillId="2" borderId="1" xfId="0" applyNumberFormat="1" applyFill="1" applyBorder="1"/>
    <xf numFmtId="0" fontId="0" fillId="5" borderId="1" xfId="0" applyFill="1" applyBorder="1"/>
    <xf numFmtId="0" fontId="15" fillId="5" borderId="1" xfId="0" applyFont="1" applyFill="1" applyBorder="1" applyAlignment="1">
      <alignment horizontal="right" vertical="center"/>
    </xf>
    <xf numFmtId="164" fontId="15" fillId="5" borderId="1" xfId="0" applyNumberFormat="1" applyFont="1" applyFill="1" applyBorder="1"/>
    <xf numFmtId="0" fontId="16" fillId="0" borderId="0" xfId="0" applyFont="1"/>
    <xf numFmtId="0" fontId="17" fillId="2" borderId="1" xfId="0" applyFont="1" applyFill="1" applyBorder="1" applyAlignment="1">
      <alignment vertical="top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6" borderId="1" xfId="0" applyFont="1" applyFill="1" applyBorder="1"/>
    <xf numFmtId="164" fontId="4" fillId="6" borderId="1" xfId="0" applyNumberFormat="1" applyFont="1" applyFill="1" applyBorder="1"/>
    <xf numFmtId="0" fontId="13" fillId="4" borderId="0" xfId="0" applyFont="1" applyFill="1"/>
    <xf numFmtId="0" fontId="14" fillId="0" borderId="1" xfId="0" applyFont="1" applyBorder="1"/>
    <xf numFmtId="0" fontId="0" fillId="0" borderId="1" xfId="0" applyBorder="1"/>
    <xf numFmtId="0" fontId="2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37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4" spans="1:2" x14ac:dyDescent="0.25">
      <c r="A14" s="4" t="s">
        <v>18</v>
      </c>
      <c r="B14" s="3" t="s">
        <v>19</v>
      </c>
    </row>
    <row r="15" spans="1:2" x14ac:dyDescent="0.25">
      <c r="A15" s="4" t="s">
        <v>20</v>
      </c>
      <c r="B15" s="3" t="s">
        <v>21</v>
      </c>
    </row>
    <row r="17" spans="1:2" x14ac:dyDescent="0.25">
      <c r="A17" s="5" t="s">
        <v>22</v>
      </c>
      <c r="B17" s="5"/>
    </row>
    <row r="18" spans="1:2" x14ac:dyDescent="0.25">
      <c r="A18" s="6" t="s">
        <v>23</v>
      </c>
      <c r="B18" s="6"/>
    </row>
    <row r="19" spans="1:2" x14ac:dyDescent="0.25">
      <c r="A19" s="7" t="s">
        <v>24</v>
      </c>
      <c r="B19" s="7"/>
    </row>
    <row r="21" spans="1:2" x14ac:dyDescent="0.25">
      <c r="A21" s="8" t="s">
        <v>25</v>
      </c>
      <c r="B21" s="8"/>
    </row>
    <row r="22" ht="28" customHeight="1" spans="1:2" x14ac:dyDescent="0.25">
      <c r="A22" s="3" t="s">
        <v>26</v>
      </c>
      <c r="B22" s="3"/>
    </row>
    <row r="23" ht="28" customHeight="1" spans="1:2" x14ac:dyDescent="0.25">
      <c r="A23" s="3" t="s">
        <v>27</v>
      </c>
      <c r="B23" s="3"/>
    </row>
    <row r="24" ht="28" customHeight="1" spans="1:2" x14ac:dyDescent="0.25">
      <c r="A24" s="3" t="s">
        <v>28</v>
      </c>
      <c r="B24" s="3"/>
    </row>
    <row r="25" ht="28" customHeight="1" spans="1:2" x14ac:dyDescent="0.25">
      <c r="A25" s="3" t="s">
        <v>29</v>
      </c>
      <c r="B25" s="3"/>
    </row>
    <row r="26" ht="28" customHeight="1" spans="1:2" x14ac:dyDescent="0.25">
      <c r="A26" s="3" t="s">
        <v>30</v>
      </c>
      <c r="B26" s="3"/>
    </row>
    <row r="27" ht="28" customHeight="1" spans="1:2" x14ac:dyDescent="0.25">
      <c r="A27" s="3" t="s">
        <v>31</v>
      </c>
      <c r="B27" s="3"/>
    </row>
    <row r="29" spans="1:2" x14ac:dyDescent="0.25">
      <c r="A29" s="2" t="s">
        <v>32</v>
      </c>
      <c r="B29" s="2"/>
    </row>
    <row r="30" spans="1:2" x14ac:dyDescent="0.25">
      <c r="A30" s="9" t="s">
        <v>33</v>
      </c>
      <c r="B30" s="9"/>
    </row>
    <row r="31" spans="1:2" x14ac:dyDescent="0.25">
      <c r="A31" s="9" t="s">
        <v>34</v>
      </c>
      <c r="B31" s="9"/>
    </row>
    <row r="32" spans="1:2" x14ac:dyDescent="0.25">
      <c r="A32" s="9" t="s">
        <v>35</v>
      </c>
      <c r="B32" s="9"/>
    </row>
    <row r="33" spans="1:2" x14ac:dyDescent="0.25">
      <c r="A33" s="9" t="s">
        <v>36</v>
      </c>
      <c r="B33" s="9"/>
    </row>
    <row r="34" spans="1:2" x14ac:dyDescent="0.25">
      <c r="A34" s="9" t="s">
        <v>37</v>
      </c>
      <c r="B34" s="9"/>
    </row>
    <row r="36" spans="1:2" x14ac:dyDescent="0.25">
      <c r="A36" s="10" t="s">
        <v>38</v>
      </c>
      <c r="B36" s="10"/>
    </row>
    <row r="37" spans="1:2" x14ac:dyDescent="0.25">
      <c r="A37" s="11" t="s">
        <v>39</v>
      </c>
      <c r="B37" s="11"/>
    </row>
  </sheetData>
  <mergeCells count="22">
    <mergeCell ref="A1:B1"/>
    <mergeCell ref="A3:B3"/>
    <mergeCell ref="A4:B4"/>
    <mergeCell ref="A6:B6"/>
    <mergeCell ref="A17:B17"/>
    <mergeCell ref="A18:B18"/>
    <mergeCell ref="A19:B19"/>
    <mergeCell ref="A21:B21"/>
    <mergeCell ref="A22:B22"/>
    <mergeCell ref="A23:B23"/>
    <mergeCell ref="A24:B24"/>
    <mergeCell ref="A25:B25"/>
    <mergeCell ref="A26:B26"/>
    <mergeCell ref="A27:B27"/>
    <mergeCell ref="A29:B29"/>
    <mergeCell ref="A30:B30"/>
    <mergeCell ref="A31:B31"/>
    <mergeCell ref="A32:B32"/>
    <mergeCell ref="A33:B33"/>
    <mergeCell ref="A34:B34"/>
    <mergeCell ref="A36:B36"/>
    <mergeCell ref="A37:B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4"/>
  <sheetFormatPr defaultRowHeight="15" outlineLevelRow="0" outlineLevelCol="0" x14ac:dyDescent="55"/>
  <cols>
    <col min="1" max="1" width="34" customWidth="1"/>
    <col min="2" max="3" width="10" customWidth="1"/>
    <col min="4" max="6" width="14" customWidth="1"/>
  </cols>
  <sheetData>
    <row r="1" ht="32" customHeight="1" spans="1:5" x14ac:dyDescent="0.25">
      <c r="A1" s="12" t="s">
        <v>40</v>
      </c>
      <c r="B1" s="12"/>
      <c r="C1" s="12"/>
      <c r="D1" s="12"/>
      <c r="E1" s="12"/>
    </row>
    <row r="2" spans="1:5" x14ac:dyDescent="0.25">
      <c r="A2" s="13" t="s">
        <v>41</v>
      </c>
      <c r="B2" s="13"/>
      <c r="C2" s="13"/>
      <c r="D2" s="13"/>
      <c r="E2" s="13"/>
    </row>
    <row r="3" spans="1:5" x14ac:dyDescent="0.25">
      <c r="A3" s="13" t="s">
        <v>42</v>
      </c>
      <c r="B3" s="13"/>
      <c r="C3" s="13"/>
      <c r="D3" s="13"/>
      <c r="E3" s="13"/>
    </row>
    <row r="4" spans="1:5" x14ac:dyDescent="0.25">
      <c r="A4" s="14" t="s">
        <v>43</v>
      </c>
      <c r="B4" s="14"/>
      <c r="C4" s="14"/>
      <c r="D4" s="14"/>
      <c r="E4" s="14"/>
    </row>
    <row r="6" ht="28" customHeight="1" spans="1:5" x14ac:dyDescent="0.25">
      <c r="A6" s="15" t="s">
        <v>44</v>
      </c>
      <c r="B6" s="15"/>
      <c r="C6" s="15"/>
      <c r="D6" s="15"/>
      <c r="E6" s="15"/>
    </row>
    <row r="8" spans="1:5" x14ac:dyDescent="0.25">
      <c r="A8" s="16" t="s">
        <v>45</v>
      </c>
      <c r="B8" s="17" t="s">
        <v>46</v>
      </c>
      <c r="D8" s="16" t="s">
        <v>47</v>
      </c>
      <c r="E8" s="17" t="s">
        <v>48</v>
      </c>
    </row>
    <row r="9" spans="1:5" x14ac:dyDescent="0.25">
      <c r="A9" s="16" t="s">
        <v>49</v>
      </c>
      <c r="B9" s="17" t="s">
        <v>50</v>
      </c>
      <c r="D9" s="16" t="s">
        <v>51</v>
      </c>
      <c r="E9" s="17" t="s">
        <v>52</v>
      </c>
    </row>
    <row r="11" spans="1:2" x14ac:dyDescent="0.25">
      <c r="A11" s="18" t="s">
        <v>53</v>
      </c>
      <c r="B11" s="18"/>
    </row>
    <row r="12" spans="1:2" x14ac:dyDescent="0.25">
      <c r="A12" s="19" t="s">
        <v>54</v>
      </c>
      <c r="B12" s="17" t="s">
        <v>55</v>
      </c>
    </row>
    <row r="13" spans="1:2" x14ac:dyDescent="0.25">
      <c r="A13" s="19" t="s">
        <v>56</v>
      </c>
      <c r="B13" s="17" t="s">
        <v>57</v>
      </c>
    </row>
    <row r="14" spans="1:2" x14ac:dyDescent="0.25">
      <c r="A14" s="19" t="s">
        <v>58</v>
      </c>
      <c r="B14" s="17" t="s">
        <v>59</v>
      </c>
    </row>
    <row r="15" spans="1:2" x14ac:dyDescent="0.25">
      <c r="A15" s="19" t="s">
        <v>60</v>
      </c>
      <c r="B15" s="17" t="s">
        <v>61</v>
      </c>
    </row>
    <row r="17" ht="22" customHeight="1" spans="1:5" x14ac:dyDescent="0.25">
      <c r="A17" s="20" t="s">
        <v>62</v>
      </c>
      <c r="B17" s="21" t="s">
        <v>63</v>
      </c>
      <c r="C17" s="21" t="s">
        <v>64</v>
      </c>
      <c r="D17" s="21" t="s">
        <v>65</v>
      </c>
      <c r="E17" s="21" t="s">
        <v>66</v>
      </c>
    </row>
    <row r="18" spans="1:5" x14ac:dyDescent="0.25">
      <c r="A18" s="17" t="s">
        <v>67</v>
      </c>
      <c r="B18" s="22">
        <v>12</v>
      </c>
      <c r="C18" s="22" t="s">
        <v>68</v>
      </c>
      <c r="D18" s="23">
        <v>155</v>
      </c>
      <c r="E18" s="24">
        <f>IF(B18="","",B18*D18)</f>
      </c>
    </row>
    <row r="19" spans="1:5" x14ac:dyDescent="0.25">
      <c r="A19" s="17" t="s">
        <v>69</v>
      </c>
      <c r="B19" s="22">
        <v>8</v>
      </c>
      <c r="C19" s="22" t="s">
        <v>70</v>
      </c>
      <c r="D19" s="23">
        <v>35</v>
      </c>
      <c r="E19" s="24">
        <f>IF(B19="","",B19*D19)</f>
      </c>
    </row>
    <row r="20" spans="1:5" x14ac:dyDescent="0.25">
      <c r="A20" s="17" t="s">
        <v>71</v>
      </c>
      <c r="B20" s="22">
        <v>300</v>
      </c>
      <c r="C20" s="22" t="s">
        <v>72</v>
      </c>
      <c r="D20" s="23">
        <v>0.75</v>
      </c>
      <c r="E20" s="24">
        <f>IF(B20="","",B20*D20)</f>
      </c>
    </row>
    <row r="21" spans="1:5" x14ac:dyDescent="0.25">
      <c r="A21" s="17" t="s">
        <v>73</v>
      </c>
      <c r="B21" s="22">
        <v>1</v>
      </c>
      <c r="C21" s="22" t="s">
        <v>74</v>
      </c>
      <c r="D21" s="23">
        <v>800</v>
      </c>
      <c r="E21" s="24">
        <f>IF(B21="","",B21*D21)</f>
      </c>
    </row>
    <row r="22" spans="1:5" x14ac:dyDescent="0.25">
      <c r="A22" s="17" t="s">
        <v>75</v>
      </c>
      <c r="B22" s="22">
        <v>16</v>
      </c>
      <c r="C22" s="22" t="s">
        <v>76</v>
      </c>
      <c r="D22" s="23">
        <v>55</v>
      </c>
      <c r="E22" s="24">
        <f>IF(B22="","",B22*D22)</f>
      </c>
    </row>
    <row r="23" spans="1:5" x14ac:dyDescent="0.25">
      <c r="A23" s="17" t="s">
        <v>77</v>
      </c>
      <c r="B23" s="22">
        <v>20</v>
      </c>
      <c r="C23" s="22" t="s">
        <v>76</v>
      </c>
      <c r="D23" s="23">
        <v>65</v>
      </c>
      <c r="E23" s="24">
        <f>IF(B23="","",B23*D23)</f>
      </c>
    </row>
    <row r="24" spans="1:5" x14ac:dyDescent="0.25">
      <c r="A24" s="17" t="s">
        <v>78</v>
      </c>
      <c r="B24" s="22">
        <v>1</v>
      </c>
      <c r="C24" s="22" t="s">
        <v>74</v>
      </c>
      <c r="D24" s="23">
        <v>350</v>
      </c>
      <c r="E24" s="24">
        <f>IF(B24="","",B24*D24)</f>
      </c>
    </row>
    <row r="25" spans="1:5" x14ac:dyDescent="0.25">
      <c r="A25" s="17" t="s">
        <v>79</v>
      </c>
      <c r="B25" s="22">
        <v>1</v>
      </c>
      <c r="C25" s="22" t="s">
        <v>74</v>
      </c>
      <c r="D25" s="23">
        <v>450</v>
      </c>
      <c r="E25" s="24">
        <f>IF(B25="","",B25*D25)</f>
      </c>
    </row>
    <row r="26" spans="1:5" x14ac:dyDescent="0.25">
      <c r="A26" s="17" t="s">
        <v>80</v>
      </c>
      <c r="B26" s="22">
        <v>6</v>
      </c>
      <c r="C26" s="22" t="s">
        <v>76</v>
      </c>
      <c r="D26" s="23">
        <v>45</v>
      </c>
      <c r="E26" s="24">
        <f>IF(B26="","",B26*D26)</f>
      </c>
    </row>
    <row r="27" spans="1:5" x14ac:dyDescent="0.25">
      <c r="A27" s="17" t="s">
        <v>81</v>
      </c>
      <c r="B27" s="22" t="s">
        <v>81</v>
      </c>
      <c r="C27" s="22" t="s">
        <v>81</v>
      </c>
      <c r="D27" s="23" t="s">
        <v>81</v>
      </c>
      <c r="E27" s="24">
        <f>IF(B27="","",B27*D27)</f>
      </c>
    </row>
    <row r="28" spans="1:5" x14ac:dyDescent="0.25">
      <c r="A28" s="17" t="s">
        <v>81</v>
      </c>
      <c r="B28" s="22" t="s">
        <v>81</v>
      </c>
      <c r="C28" s="22" t="s">
        <v>81</v>
      </c>
      <c r="D28" s="23" t="s">
        <v>81</v>
      </c>
      <c r="E28" s="24">
        <f>IF(B28="","",B28*D28)</f>
      </c>
    </row>
    <row r="29" spans="1:5" x14ac:dyDescent="0.25">
      <c r="A29" s="17" t="s">
        <v>81</v>
      </c>
      <c r="B29" s="22" t="s">
        <v>81</v>
      </c>
      <c r="C29" s="22" t="s">
        <v>81</v>
      </c>
      <c r="D29" s="23" t="s">
        <v>81</v>
      </c>
      <c r="E29" s="24">
        <f>IF(B29="","",B29*D29)</f>
      </c>
    </row>
    <row r="30" spans="1:5" x14ac:dyDescent="0.25">
      <c r="A30" s="17" t="s">
        <v>81</v>
      </c>
      <c r="B30" s="22" t="s">
        <v>81</v>
      </c>
      <c r="C30" s="22" t="s">
        <v>81</v>
      </c>
      <c r="D30" s="23" t="s">
        <v>81</v>
      </c>
      <c r="E30" s="24">
        <f>IF(B30="","",B30*D30)</f>
      </c>
    </row>
    <row r="31" spans="1:5" x14ac:dyDescent="0.25">
      <c r="A31" s="17" t="s">
        <v>81</v>
      </c>
      <c r="B31" s="22" t="s">
        <v>81</v>
      </c>
      <c r="C31" s="22" t="s">
        <v>81</v>
      </c>
      <c r="D31" s="23" t="s">
        <v>81</v>
      </c>
      <c r="E31" s="24">
        <f>IF(B31="","",B31*D31)</f>
      </c>
    </row>
    <row r="32" spans="1:5" x14ac:dyDescent="0.25">
      <c r="A32" s="17" t="s">
        <v>81</v>
      </c>
      <c r="B32" s="22" t="s">
        <v>81</v>
      </c>
      <c r="C32" s="22" t="s">
        <v>81</v>
      </c>
      <c r="D32" s="23" t="s">
        <v>81</v>
      </c>
      <c r="E32" s="24">
        <f>IF(B32="","",B32*D32)</f>
      </c>
    </row>
    <row r="34" spans="4:5" x14ac:dyDescent="0.25">
      <c r="D34" s="25" t="s">
        <v>82</v>
      </c>
      <c r="E34" s="26">
        <f>SUM(E18:E32)</f>
      </c>
    </row>
    <row r="35" spans="4:5" x14ac:dyDescent="0.25">
      <c r="D35" s="25" t="s">
        <v>83</v>
      </c>
      <c r="E35" s="27">
        <v>0</v>
      </c>
    </row>
    <row r="36" spans="4:5" x14ac:dyDescent="0.25">
      <c r="D36" s="25" t="s">
        <v>84</v>
      </c>
      <c r="E36" s="24">
        <f>E34*E35</f>
      </c>
    </row>
    <row r="37" spans="4:5" x14ac:dyDescent="0.25">
      <c r="D37" s="25" t="s">
        <v>85</v>
      </c>
      <c r="E37" s="23">
        <v>0</v>
      </c>
    </row>
    <row r="38" ht="30" customHeight="1" spans="1:5" x14ac:dyDescent="0.25">
      <c r="A38" s="28" t="s">
        <v>81</v>
      </c>
      <c r="B38" s="28"/>
      <c r="C38" s="28"/>
      <c r="D38" s="29" t="s">
        <v>86</v>
      </c>
      <c r="E38" s="30">
        <f>E34+E36-E37</f>
      </c>
    </row>
    <row r="40" spans="1:5" x14ac:dyDescent="0.25">
      <c r="A40" s="18" t="s">
        <v>87</v>
      </c>
      <c r="B40" s="18"/>
      <c r="C40" s="18"/>
      <c r="D40" s="18"/>
      <c r="E40" s="18"/>
    </row>
    <row r="41" spans="1:5" x14ac:dyDescent="0.25">
      <c r="A41" s="31" t="s">
        <v>88</v>
      </c>
      <c r="B41" s="31"/>
      <c r="C41" s="31"/>
      <c r="D41" s="31"/>
      <c r="E41" s="31"/>
    </row>
    <row r="42" spans="1:5" x14ac:dyDescent="0.25">
      <c r="A42" s="31" t="s">
        <v>89</v>
      </c>
      <c r="B42" s="31"/>
      <c r="C42" s="31"/>
      <c r="D42" s="31"/>
      <c r="E42" s="31"/>
    </row>
    <row r="43" spans="1:5" x14ac:dyDescent="0.25">
      <c r="A43" s="31" t="s">
        <v>90</v>
      </c>
      <c r="B43" s="31"/>
      <c r="C43" s="31"/>
      <c r="D43" s="31"/>
      <c r="E43" s="31"/>
    </row>
    <row r="44" spans="1:5" x14ac:dyDescent="0.25">
      <c r="A44" s="31" t="s">
        <v>91</v>
      </c>
      <c r="B44" s="31"/>
      <c r="C44" s="31"/>
      <c r="D44" s="31"/>
      <c r="E44" s="31"/>
    </row>
    <row r="45" spans="1:5" x14ac:dyDescent="0.25">
      <c r="A45" s="31" t="s">
        <v>92</v>
      </c>
      <c r="B45" s="31"/>
      <c r="C45" s="31"/>
      <c r="D45" s="31"/>
      <c r="E45" s="31"/>
    </row>
    <row r="47" spans="1:5" x14ac:dyDescent="0.25">
      <c r="A47" s="18" t="s">
        <v>93</v>
      </c>
      <c r="B47" s="18"/>
      <c r="C47" s="18"/>
      <c r="D47" s="18"/>
      <c r="E47" s="18"/>
    </row>
    <row r="48" spans="1:5" x14ac:dyDescent="0.25">
      <c r="A48" s="32" t="s">
        <v>94</v>
      </c>
      <c r="B48" s="32"/>
      <c r="C48" s="32"/>
      <c r="D48" s="32"/>
      <c r="E48" s="32"/>
    </row>
    <row r="49" spans="1:5" x14ac:dyDescent="0.25">
      <c r="A49" s="32"/>
      <c r="B49" s="32"/>
      <c r="C49" s="32"/>
      <c r="D49" s="32"/>
      <c r="E49" s="32"/>
    </row>
    <row r="50" spans="1:5" x14ac:dyDescent="0.25">
      <c r="A50" s="32"/>
      <c r="B50" s="32"/>
      <c r="C50" s="32"/>
      <c r="D50" s="32"/>
      <c r="E50" s="32"/>
    </row>
    <row r="51" spans="1:5" x14ac:dyDescent="0.25">
      <c r="A51" s="32"/>
      <c r="B51" s="32"/>
      <c r="C51" s="32"/>
      <c r="D51" s="32"/>
      <c r="E51" s="32"/>
    </row>
    <row r="53" spans="1:5" x14ac:dyDescent="0.25">
      <c r="A53" s="33" t="s">
        <v>95</v>
      </c>
      <c r="B53" s="33"/>
      <c r="C53" s="33"/>
      <c r="D53" s="33"/>
      <c r="E53" s="33"/>
    </row>
    <row r="54" spans="1:5" x14ac:dyDescent="0.25">
      <c r="A54" s="34" t="s">
        <v>96</v>
      </c>
      <c r="B54" s="34"/>
      <c r="C54" s="34"/>
      <c r="D54" s="34"/>
      <c r="E54" s="34"/>
    </row>
  </sheetData>
  <mergeCells count="16">
    <mergeCell ref="A1:E1"/>
    <mergeCell ref="A2:E2"/>
    <mergeCell ref="A3:E3"/>
    <mergeCell ref="A4:E4"/>
    <mergeCell ref="A6:E6"/>
    <mergeCell ref="A11:B11"/>
    <mergeCell ref="A40:E40"/>
    <mergeCell ref="A41:E41"/>
    <mergeCell ref="A42:E42"/>
    <mergeCell ref="A43:E43"/>
    <mergeCell ref="A44:E44"/>
    <mergeCell ref="A45:E45"/>
    <mergeCell ref="A47:E47"/>
    <mergeCell ref="A48:E51"/>
    <mergeCell ref="A53:E53"/>
    <mergeCell ref="A54:E54"/>
  </mergeCells>
  <pageSetup paperSize="1" orientation="portrait" fitToWidth="1" fitToHeight="0"/>
  <headerFooter>
    <oddFooter>EstimateConcrete.com — Professional Concrete Tools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  <pageSetUpPr fitToPage="1"/>
  </sheetPr>
  <dimension ref="A1:J48"/>
  <sheetFormatPr defaultRowHeight="15" outlineLevelRow="0" outlineLevelCol="0" x14ac:dyDescent="55"/>
  <cols>
    <col min="1" max="1" width="6" customWidth="1"/>
    <col min="2" max="3" width="14" customWidth="1"/>
    <col min="4" max="4" width="20" customWidth="1"/>
    <col min="5" max="7" width="14" customWidth="1"/>
    <col min="8" max="8" width="12" customWidth="1"/>
    <col min="9" max="9" width="14" customWidth="1"/>
    <col min="10" max="10" width="18" customWidth="1"/>
  </cols>
  <sheetData>
    <row r="1" ht="30" customHeight="1" spans="1:10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1" t="s">
        <v>98</v>
      </c>
      <c r="B2" s="11"/>
      <c r="C2" s="11"/>
      <c r="D2" s="11"/>
      <c r="E2" s="11"/>
      <c r="F2" s="11"/>
      <c r="G2" s="11"/>
      <c r="H2" s="11"/>
      <c r="I2" s="11"/>
      <c r="J2" s="11"/>
    </row>
    <row r="4" ht="22" customHeight="1" spans="1:10" x14ac:dyDescent="0.25">
      <c r="A4" s="20" t="s">
        <v>99</v>
      </c>
      <c r="B4" s="21" t="s">
        <v>100</v>
      </c>
      <c r="C4" s="21" t="s">
        <v>101</v>
      </c>
      <c r="D4" s="21" t="s">
        <v>102</v>
      </c>
      <c r="E4" s="21" t="s">
        <v>103</v>
      </c>
      <c r="F4" s="21" t="s">
        <v>104</v>
      </c>
      <c r="G4" s="21" t="s">
        <v>105</v>
      </c>
      <c r="H4" s="21" t="s">
        <v>106</v>
      </c>
      <c r="I4" s="21" t="s">
        <v>107</v>
      </c>
      <c r="J4" s="21" t="s">
        <v>108</v>
      </c>
    </row>
    <row r="5" spans="1:10" x14ac:dyDescent="0.25">
      <c r="A5" s="35">
        <v>1</v>
      </c>
      <c r="B5" s="17"/>
      <c r="C5" s="17"/>
      <c r="D5" s="17"/>
      <c r="E5" s="23"/>
      <c r="F5" s="23"/>
      <c r="G5" s="24">
        <f>IF(E5="","",E5-F5)</f>
      </c>
      <c r="H5" s="17"/>
      <c r="I5" s="17"/>
      <c r="J5" s="17"/>
    </row>
    <row r="6" spans="1:10" x14ac:dyDescent="0.25">
      <c r="A6" s="35">
        <v>2</v>
      </c>
      <c r="B6" s="17"/>
      <c r="C6" s="17"/>
      <c r="D6" s="17"/>
      <c r="E6" s="23"/>
      <c r="F6" s="23"/>
      <c r="G6" s="24">
        <f>IF(E6="","",E6-F6)</f>
      </c>
      <c r="H6" s="17"/>
      <c r="I6" s="17"/>
      <c r="J6" s="17"/>
    </row>
    <row r="7" spans="1:10" x14ac:dyDescent="0.25">
      <c r="A7" s="35">
        <v>3</v>
      </c>
      <c r="B7" s="17"/>
      <c r="C7" s="17"/>
      <c r="D7" s="17"/>
      <c r="E7" s="23"/>
      <c r="F7" s="23"/>
      <c r="G7" s="24">
        <f>IF(E7="","",E7-F7)</f>
      </c>
      <c r="H7" s="17"/>
      <c r="I7" s="17"/>
      <c r="J7" s="17"/>
    </row>
    <row r="8" spans="1:10" x14ac:dyDescent="0.25">
      <c r="A8" s="35">
        <v>4</v>
      </c>
      <c r="B8" s="17"/>
      <c r="C8" s="17"/>
      <c r="D8" s="17"/>
      <c r="E8" s="23"/>
      <c r="F8" s="23"/>
      <c r="G8" s="24">
        <f>IF(E8="","",E8-F8)</f>
      </c>
      <c r="H8" s="17"/>
      <c r="I8" s="17"/>
      <c r="J8" s="17"/>
    </row>
    <row r="9" spans="1:10" x14ac:dyDescent="0.25">
      <c r="A9" s="35">
        <v>5</v>
      </c>
      <c r="B9" s="17"/>
      <c r="C9" s="17"/>
      <c r="D9" s="17"/>
      <c r="E9" s="23"/>
      <c r="F9" s="23"/>
      <c r="G9" s="24">
        <f>IF(E9="","",E9-F9)</f>
      </c>
      <c r="H9" s="17"/>
      <c r="I9" s="17"/>
      <c r="J9" s="17"/>
    </row>
    <row r="10" spans="1:10" x14ac:dyDescent="0.25">
      <c r="A10" s="35">
        <v>6</v>
      </c>
      <c r="B10" s="17"/>
      <c r="C10" s="17"/>
      <c r="D10" s="17"/>
      <c r="E10" s="23"/>
      <c r="F10" s="23"/>
      <c r="G10" s="24">
        <f>IF(E10="","",E10-F10)</f>
      </c>
      <c r="H10" s="17"/>
      <c r="I10" s="17"/>
      <c r="J10" s="17"/>
    </row>
    <row r="11" spans="1:10" x14ac:dyDescent="0.25">
      <c r="A11" s="35">
        <v>7</v>
      </c>
      <c r="B11" s="17"/>
      <c r="C11" s="17"/>
      <c r="D11" s="17"/>
      <c r="E11" s="23"/>
      <c r="F11" s="23"/>
      <c r="G11" s="24">
        <f>IF(E11="","",E11-F11)</f>
      </c>
      <c r="H11" s="17"/>
      <c r="I11" s="17"/>
      <c r="J11" s="17"/>
    </row>
    <row r="12" spans="1:10" x14ac:dyDescent="0.25">
      <c r="A12" s="35">
        <v>8</v>
      </c>
      <c r="B12" s="17"/>
      <c r="C12" s="17"/>
      <c r="D12" s="17"/>
      <c r="E12" s="23"/>
      <c r="F12" s="23"/>
      <c r="G12" s="24">
        <f>IF(E12="","",E12-F12)</f>
      </c>
      <c r="H12" s="17"/>
      <c r="I12" s="17"/>
      <c r="J12" s="17"/>
    </row>
    <row r="13" spans="1:10" x14ac:dyDescent="0.25">
      <c r="A13" s="35">
        <v>9</v>
      </c>
      <c r="B13" s="17"/>
      <c r="C13" s="17"/>
      <c r="D13" s="17"/>
      <c r="E13" s="23"/>
      <c r="F13" s="23"/>
      <c r="G13" s="24">
        <f>IF(E13="","",E13-F13)</f>
      </c>
      <c r="H13" s="17"/>
      <c r="I13" s="17"/>
      <c r="J13" s="17"/>
    </row>
    <row r="14" spans="1:10" x14ac:dyDescent="0.25">
      <c r="A14" s="35">
        <v>10</v>
      </c>
      <c r="B14" s="17"/>
      <c r="C14" s="17"/>
      <c r="D14" s="17"/>
      <c r="E14" s="23"/>
      <c r="F14" s="23"/>
      <c r="G14" s="24">
        <f>IF(E14="","",E14-F14)</f>
      </c>
      <c r="H14" s="17"/>
      <c r="I14" s="17"/>
      <c r="J14" s="17"/>
    </row>
    <row r="15" spans="1:10" x14ac:dyDescent="0.25">
      <c r="A15" s="35">
        <v>11</v>
      </c>
      <c r="B15" s="17"/>
      <c r="C15" s="17"/>
      <c r="D15" s="17"/>
      <c r="E15" s="23"/>
      <c r="F15" s="23"/>
      <c r="G15" s="24">
        <f>IF(E15="","",E15-F15)</f>
      </c>
      <c r="H15" s="17"/>
      <c r="I15" s="17"/>
      <c r="J15" s="17"/>
    </row>
    <row r="16" spans="1:10" x14ac:dyDescent="0.25">
      <c r="A16" s="35">
        <v>12</v>
      </c>
      <c r="B16" s="17"/>
      <c r="C16" s="17"/>
      <c r="D16" s="17"/>
      <c r="E16" s="23"/>
      <c r="F16" s="23"/>
      <c r="G16" s="24">
        <f>IF(E16="","",E16-F16)</f>
      </c>
      <c r="H16" s="17"/>
      <c r="I16" s="17"/>
      <c r="J16" s="17"/>
    </row>
    <row r="17" spans="1:10" x14ac:dyDescent="0.25">
      <c r="A17" s="35">
        <v>13</v>
      </c>
      <c r="B17" s="17"/>
      <c r="C17" s="17"/>
      <c r="D17" s="17"/>
      <c r="E17" s="23"/>
      <c r="F17" s="23"/>
      <c r="G17" s="24">
        <f>IF(E17="","",E17-F17)</f>
      </c>
      <c r="H17" s="17"/>
      <c r="I17" s="17"/>
      <c r="J17" s="17"/>
    </row>
    <row r="18" spans="1:10" x14ac:dyDescent="0.25">
      <c r="A18" s="35">
        <v>14</v>
      </c>
      <c r="B18" s="17"/>
      <c r="C18" s="17"/>
      <c r="D18" s="17"/>
      <c r="E18" s="23"/>
      <c r="F18" s="23"/>
      <c r="G18" s="24">
        <f>IF(E18="","",E18-F18)</f>
      </c>
      <c r="H18" s="17"/>
      <c r="I18" s="17"/>
      <c r="J18" s="17"/>
    </row>
    <row r="19" spans="1:10" x14ac:dyDescent="0.25">
      <c r="A19" s="35">
        <v>15</v>
      </c>
      <c r="B19" s="17"/>
      <c r="C19" s="17"/>
      <c r="D19" s="17"/>
      <c r="E19" s="23"/>
      <c r="F19" s="23"/>
      <c r="G19" s="24">
        <f>IF(E19="","",E19-F19)</f>
      </c>
      <c r="H19" s="17"/>
      <c r="I19" s="17"/>
      <c r="J19" s="17"/>
    </row>
    <row r="20" spans="1:10" x14ac:dyDescent="0.25">
      <c r="A20" s="35">
        <v>16</v>
      </c>
      <c r="B20" s="17"/>
      <c r="C20" s="17"/>
      <c r="D20" s="17"/>
      <c r="E20" s="23"/>
      <c r="F20" s="23"/>
      <c r="G20" s="24">
        <f>IF(E20="","",E20-F20)</f>
      </c>
      <c r="H20" s="17"/>
      <c r="I20" s="17"/>
      <c r="J20" s="17"/>
    </row>
    <row r="21" spans="1:10" x14ac:dyDescent="0.25">
      <c r="A21" s="35">
        <v>17</v>
      </c>
      <c r="B21" s="17"/>
      <c r="C21" s="17"/>
      <c r="D21" s="17"/>
      <c r="E21" s="23"/>
      <c r="F21" s="23"/>
      <c r="G21" s="24">
        <f>IF(E21="","",E21-F21)</f>
      </c>
      <c r="H21" s="17"/>
      <c r="I21" s="17"/>
      <c r="J21" s="17"/>
    </row>
    <row r="22" spans="1:10" x14ac:dyDescent="0.25">
      <c r="A22" s="35">
        <v>18</v>
      </c>
      <c r="B22" s="17"/>
      <c r="C22" s="17"/>
      <c r="D22" s="17"/>
      <c r="E22" s="23"/>
      <c r="F22" s="23"/>
      <c r="G22" s="24">
        <f>IF(E22="","",E22-F22)</f>
      </c>
      <c r="H22" s="17"/>
      <c r="I22" s="17"/>
      <c r="J22" s="17"/>
    </row>
    <row r="23" spans="1:10" x14ac:dyDescent="0.25">
      <c r="A23" s="35">
        <v>19</v>
      </c>
      <c r="B23" s="17"/>
      <c r="C23" s="17"/>
      <c r="D23" s="17"/>
      <c r="E23" s="23"/>
      <c r="F23" s="23"/>
      <c r="G23" s="24">
        <f>IF(E23="","",E23-F23)</f>
      </c>
      <c r="H23" s="17"/>
      <c r="I23" s="17"/>
      <c r="J23" s="17"/>
    </row>
    <row r="24" spans="1:10" x14ac:dyDescent="0.25">
      <c r="A24" s="35">
        <v>20</v>
      </c>
      <c r="B24" s="17"/>
      <c r="C24" s="17"/>
      <c r="D24" s="17"/>
      <c r="E24" s="23"/>
      <c r="F24" s="23"/>
      <c r="G24" s="24">
        <f>IF(E24="","",E24-F24)</f>
      </c>
      <c r="H24" s="17"/>
      <c r="I24" s="17"/>
      <c r="J24" s="17"/>
    </row>
    <row r="25" spans="1:10" x14ac:dyDescent="0.25">
      <c r="A25" s="35">
        <v>21</v>
      </c>
      <c r="B25" s="17"/>
      <c r="C25" s="17"/>
      <c r="D25" s="17"/>
      <c r="E25" s="23"/>
      <c r="F25" s="23"/>
      <c r="G25" s="24">
        <f>IF(E25="","",E25-F25)</f>
      </c>
      <c r="H25" s="17"/>
      <c r="I25" s="17"/>
      <c r="J25" s="17"/>
    </row>
    <row r="26" spans="1:10" x14ac:dyDescent="0.25">
      <c r="A26" s="35">
        <v>22</v>
      </c>
      <c r="B26" s="17"/>
      <c r="C26" s="17"/>
      <c r="D26" s="17"/>
      <c r="E26" s="23"/>
      <c r="F26" s="23"/>
      <c r="G26" s="24">
        <f>IF(E26="","",E26-F26)</f>
      </c>
      <c r="H26" s="17"/>
      <c r="I26" s="17"/>
      <c r="J26" s="17"/>
    </row>
    <row r="27" spans="1:10" x14ac:dyDescent="0.25">
      <c r="A27" s="35">
        <v>23</v>
      </c>
      <c r="B27" s="17"/>
      <c r="C27" s="17"/>
      <c r="D27" s="17"/>
      <c r="E27" s="23"/>
      <c r="F27" s="23"/>
      <c r="G27" s="24">
        <f>IF(E27="","",E27-F27)</f>
      </c>
      <c r="H27" s="17"/>
      <c r="I27" s="17"/>
      <c r="J27" s="17"/>
    </row>
    <row r="28" spans="1:10" x14ac:dyDescent="0.25">
      <c r="A28" s="35">
        <v>24</v>
      </c>
      <c r="B28" s="17"/>
      <c r="C28" s="17"/>
      <c r="D28" s="17"/>
      <c r="E28" s="23"/>
      <c r="F28" s="23"/>
      <c r="G28" s="24">
        <f>IF(E28="","",E28-F28)</f>
      </c>
      <c r="H28" s="17"/>
      <c r="I28" s="17"/>
      <c r="J28" s="17"/>
    </row>
    <row r="29" spans="1:10" x14ac:dyDescent="0.25">
      <c r="A29" s="35">
        <v>25</v>
      </c>
      <c r="B29" s="17"/>
      <c r="C29" s="17"/>
      <c r="D29" s="17"/>
      <c r="E29" s="23"/>
      <c r="F29" s="23"/>
      <c r="G29" s="24">
        <f>IF(E29="","",E29-F29)</f>
      </c>
      <c r="H29" s="17"/>
      <c r="I29" s="17"/>
      <c r="J29" s="17"/>
    </row>
    <row r="30" spans="1:10" x14ac:dyDescent="0.25">
      <c r="A30" s="35">
        <v>26</v>
      </c>
      <c r="B30" s="17"/>
      <c r="C30" s="17"/>
      <c r="D30" s="17"/>
      <c r="E30" s="23"/>
      <c r="F30" s="23"/>
      <c r="G30" s="24">
        <f>IF(E30="","",E30-F30)</f>
      </c>
      <c r="H30" s="17"/>
      <c r="I30" s="17"/>
      <c r="J30" s="17"/>
    </row>
    <row r="31" spans="1:10" x14ac:dyDescent="0.25">
      <c r="A31" s="35">
        <v>27</v>
      </c>
      <c r="B31" s="17"/>
      <c r="C31" s="17"/>
      <c r="D31" s="17"/>
      <c r="E31" s="23"/>
      <c r="F31" s="23"/>
      <c r="G31" s="24">
        <f>IF(E31="","",E31-F31)</f>
      </c>
      <c r="H31" s="17"/>
      <c r="I31" s="17"/>
      <c r="J31" s="17"/>
    </row>
    <row r="32" spans="1:10" x14ac:dyDescent="0.25">
      <c r="A32" s="35">
        <v>28</v>
      </c>
      <c r="B32" s="17"/>
      <c r="C32" s="17"/>
      <c r="D32" s="17"/>
      <c r="E32" s="23"/>
      <c r="F32" s="23"/>
      <c r="G32" s="24">
        <f>IF(E32="","",E32-F32)</f>
      </c>
      <c r="H32" s="17"/>
      <c r="I32" s="17"/>
      <c r="J32" s="17"/>
    </row>
    <row r="33" spans="1:10" x14ac:dyDescent="0.25">
      <c r="A33" s="35">
        <v>29</v>
      </c>
      <c r="B33" s="17"/>
      <c r="C33" s="17"/>
      <c r="D33" s="17"/>
      <c r="E33" s="23"/>
      <c r="F33" s="23"/>
      <c r="G33" s="24">
        <f>IF(E33="","",E33-F33)</f>
      </c>
      <c r="H33" s="17"/>
      <c r="I33" s="17"/>
      <c r="J33" s="17"/>
    </row>
    <row r="34" spans="1:10" x14ac:dyDescent="0.25">
      <c r="A34" s="35">
        <v>30</v>
      </c>
      <c r="B34" s="17"/>
      <c r="C34" s="17"/>
      <c r="D34" s="17"/>
      <c r="E34" s="23"/>
      <c r="F34" s="23"/>
      <c r="G34" s="24">
        <f>IF(E34="","",E34-F34)</f>
      </c>
      <c r="H34" s="17"/>
      <c r="I34" s="17"/>
      <c r="J34" s="17"/>
    </row>
    <row r="36" spans="1:10" x14ac:dyDescent="0.25">
      <c r="A36" s="36" t="s">
        <v>81</v>
      </c>
      <c r="B36" s="36"/>
      <c r="C36" s="36"/>
      <c r="D36" s="36" t="s">
        <v>109</v>
      </c>
      <c r="E36" s="37">
        <f>SUM(E5:E34)</f>
      </c>
      <c r="F36" s="37">
        <f>SUM(F5:F34)</f>
      </c>
      <c r="G36" s="37">
        <f>SUM(G5:G34)</f>
      </c>
      <c r="H36" s="36"/>
      <c r="I36" s="36"/>
      <c r="J36" s="36"/>
    </row>
    <row r="38" spans="1:4" x14ac:dyDescent="0.25">
      <c r="A38" s="38" t="s">
        <v>110</v>
      </c>
      <c r="B38" s="38"/>
      <c r="C38" s="38"/>
      <c r="D38" s="38"/>
    </row>
    <row r="39" spans="1:3" x14ac:dyDescent="0.25">
      <c r="A39" s="36" t="s">
        <v>106</v>
      </c>
      <c r="B39" s="36" t="s">
        <v>111</v>
      </c>
      <c r="C39" s="36" t="s">
        <v>66</v>
      </c>
    </row>
    <row r="40" spans="1:3" x14ac:dyDescent="0.25">
      <c r="A40" s="39" t="s">
        <v>112</v>
      </c>
      <c r="B40" s="40">
        <f>COUNTIF(H5:H34,"Sent")</f>
      </c>
      <c r="C40" s="24">
        <f>SUMIFS(E5:E34,H5:H34,"Sent")</f>
      </c>
    </row>
    <row r="41" spans="1:3" x14ac:dyDescent="0.25">
      <c r="A41" s="39" t="s">
        <v>113</v>
      </c>
      <c r="B41" s="40">
        <f>COUNTIF(H5:H34,"Paid")</f>
      </c>
      <c r="C41" s="24">
        <f>SUMIFS(E5:E34,H5:H34,"Paid")</f>
      </c>
    </row>
    <row r="42" spans="1:3" x14ac:dyDescent="0.25">
      <c r="A42" s="39" t="s">
        <v>114</v>
      </c>
      <c r="B42" s="40">
        <f>COUNTIF(H5:H34,"Partial")</f>
      </c>
      <c r="C42" s="24">
        <f>SUMIFS(E5:E34,H5:H34,"Partial")</f>
      </c>
    </row>
    <row r="43" spans="1:3" x14ac:dyDescent="0.25">
      <c r="A43" s="39" t="s">
        <v>115</v>
      </c>
      <c r="B43" s="40">
        <f>COUNTIF(H5:H34,"Overdue")</f>
      </c>
      <c r="C43" s="24">
        <f>SUMIFS(E5:E34,H5:H34,"Overdue")</f>
      </c>
    </row>
    <row r="44" spans="1:3" x14ac:dyDescent="0.25">
      <c r="A44" s="39" t="s">
        <v>116</v>
      </c>
      <c r="B44" s="40">
        <f>COUNTIF(H5:H34,"Disputed")</f>
      </c>
      <c r="C44" s="24">
        <f>SUMIFS(E5:E34,H5:H34,"Disputed")</f>
      </c>
    </row>
    <row r="45" spans="1:3" x14ac:dyDescent="0.25">
      <c r="A45" s="39" t="s">
        <v>117</v>
      </c>
      <c r="B45" s="40">
        <f>COUNTIF(H5:H34,"Written Off")</f>
      </c>
      <c r="C45" s="24">
        <f>SUMIFS(E5:E34,H5:H34,"Written Off")</f>
      </c>
    </row>
    <row r="48" spans="1:4" x14ac:dyDescent="0.25">
      <c r="A48" s="41" t="s">
        <v>118</v>
      </c>
      <c r="B48" s="41"/>
      <c r="C48" s="41"/>
      <c r="D48" s="41"/>
    </row>
  </sheetData>
  <mergeCells count="4">
    <mergeCell ref="A1:J1"/>
    <mergeCell ref="A2:J2"/>
    <mergeCell ref="A38:D38"/>
    <mergeCell ref="A48:D48"/>
  </mergeCells>
  <dataValidations count="2">
    <dataValidation type="list" allowBlank="1" sqref="H10:H34">
      <formula1>"Sent,Paid,Partial,Overdue,Disputed,Written Off"</formula1>
    </dataValidation>
    <dataValidation type="list" allowBlank="1" sqref="H5:H34">
      <formula1>"Sent,Paid,Partial,Overdue,Disputed,Written Off"</formula1>
    </dataValidation>
  </dataValidations>
  <pageSetup paperSize="1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How to Use</vt:lpstr>
      <vt:lpstr>Invoice</vt:lpstr>
      <vt:lpstr>Payment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2026-03-08T17:24:52Z</dcterms:created>
  <dcterms:modified xsi:type="dcterms:W3CDTF">2026-03-08T17:24:52Z</dcterms:modified>
</cp:coreProperties>
</file>