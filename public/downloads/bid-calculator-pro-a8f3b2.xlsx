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Bid Calculator" state="visible" r:id="rId5"/>
    <sheet sheetId="3" name="Company Setup" state="visible" r:id="rId6"/>
    <sheet sheetId="4" name="Rate Reference" state="visible" r:id="rId7"/>
    <sheet sheetId="5" name="Your Pricing Calculator" state="visible" r:id="rId8"/>
    <sheet sheetId="6" name="Job Profitability Tracker" state="visible" r:id="rId9"/>
    <sheet sheetId="7" name="Quick Reference" state="visible" r:id="rId10"/>
  </sheets>
  <calcPr calcId="171027"/>
</workbook>
</file>

<file path=xl/sharedStrings.xml><?xml version="1.0" encoding="utf-8"?>
<sst xmlns="http://schemas.openxmlformats.org/spreadsheetml/2006/main" count="446" uniqueCount="370">
  <si>
    <t>📋 HOW TO USE: Bid Calculator Pro</t>
  </si>
  <si>
    <t>ABOUT THIS TEMPLATE</t>
  </si>
  <si>
    <t>This professional bid calculator helps you accurately price concrete jobs. Enter your project dimensions, material costs, and labor rates — the spreadsheet automatically calculates your total bid including materials, labor, equipment, overhead, and profit.</t>
  </si>
  <si>
    <t>STEP-BY-STEP INSTRUCTIONS</t>
  </si>
  <si>
    <t>1.</t>
  </si>
  <si>
    <t>Go to the 'Bid Calculator' sheet</t>
  </si>
  <si>
    <t>2.</t>
  </si>
  <si>
    <t>Fill in the yellow cells under PROJECT INPUTS (dimensions, rates, margins)</t>
  </si>
  <si>
    <t>3.</t>
  </si>
  <si>
    <t>Use the dropdown menus for Project Type and Finish Type</t>
  </si>
  <si>
    <t>4.</t>
  </si>
  <si>
    <t>Review the CALCULATED RESULTS section — all values auto-calculate</t>
  </si>
  <si>
    <t>5.</t>
  </si>
  <si>
    <t>Check the TOTAL BID amount at the bottom</t>
  </si>
  <si>
    <t>6.</t>
  </si>
  <si>
    <t>Use the 'Rate Reference' sheet for current market pricing</t>
  </si>
  <si>
    <t>7.</t>
  </si>
  <si>
    <t>Use the 'Your Pricing Calculator' sheet to set your custom rates</t>
  </si>
  <si>
    <t>8.</t>
  </si>
  <si>
    <t>Track completed jobs on the 'Job Profitability Tracker' sheet</t>
  </si>
  <si>
    <t>9.</t>
  </si>
  <si>
    <t>Check the '📚 Quick Reference' sheet for mix ratios, rebar spacing, curing times &amp; more</t>
  </si>
  <si>
    <t>10.</t>
  </si>
  <si>
    <t>Print or save as PDF to present to clients</t>
  </si>
  <si>
    <t>🟡 YELLOW CELLS = Editable (enter your data here)</t>
  </si>
  <si>
    <t>📊 CELLS WITH FORMULAS (don't overwrite): All cells in CALCULATED RESULTS section (Column B, rows 23-44)</t>
  </si>
  <si>
    <t>✏️ EDITABLE CELLS: Yellow cells in PROJECT INPUTS (B13-B20, E14)</t>
  </si>
  <si>
    <t>💡 PRO TIPS — INSIDER KNOWLEDGE</t>
  </si>
  <si>
    <t xml:space="preserve">  💡 Always add 10% waste factor to your concrete order — running short mid-pour is the most expensive mistake</t>
  </si>
  <si>
    <t xml:space="preserve">  💡 Price your first 3 jobs 5-10% below market to build reviews and a photo portfolio — the ROI pays 10x</t>
  </si>
  <si>
    <t xml:space="preserve">  💡 Never give a verbal estimate. Always use a written template. It protects you legally and looks professional</t>
  </si>
  <si>
    <t xml:space="preserve">  💡 Track every job's actual profit vs. estimated profit. Most contractors overestimate margins by 8-15%</t>
  </si>
  <si>
    <t xml:space="preserve">  💡 Charge a site visit fee ($50-$100) for estimates over 30 minutes. Serious buyers pay it — tire-kickers won't</t>
  </si>
  <si>
    <t>TIPS FOR PRINTING / PDF EXPORT</t>
  </si>
  <si>
    <t>• File &gt; Print or Ctrl+P to print</t>
  </si>
  <si>
    <t>• Set to 'Fit Sheet on One Page' for best results</t>
  </si>
  <si>
    <t>• Use 'Portrait' orientation for estimates and contracts</t>
  </si>
  <si>
    <t>• Use 'Landscape' for pricing matrices and marketing plans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</si>
  <si>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</si>
  <si>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</si>
  <si>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</si>
  <si>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</si>
  <si>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[YOUR COMPANY NAME]</t>
  </si>
  <si>
    <t>[Address] • [Phone] • [Email] • [License #]</t>
  </si>
  <si>
    <t>PROFESSIONAL BID CALCULATOR</t>
  </si>
  <si>
    <t>Date:</t>
  </si>
  <si>
    <t>March 8, 2026</t>
  </si>
  <si>
    <t>Valid for:</t>
  </si>
  <si>
    <t>30 days</t>
  </si>
  <si>
    <t>CLIENT INFORMATION</t>
  </si>
  <si>
    <t>Name:</t>
  </si>
  <si>
    <t>[Client Name]</t>
  </si>
  <si>
    <t>Phone:</t>
  </si>
  <si>
    <t>[Client Phone]</t>
  </si>
  <si>
    <t>Email:</t>
  </si>
  <si>
    <t>[Client Email]</t>
  </si>
  <si>
    <t>Project Address:</t>
  </si>
  <si>
    <t>[Project Address]</t>
  </si>
  <si>
    <t>PROJECT INPUTS</t>
  </si>
  <si>
    <t>Project Type:</t>
  </si>
  <si>
    <t>Driveway</t>
  </si>
  <si>
    <t>Finish Type:</t>
  </si>
  <si>
    <t>Broom</t>
  </si>
  <si>
    <t>Length (ft):</t>
  </si>
  <si>
    <t>Width (ft):</t>
  </si>
  <si>
    <t>Thickness (inches):</t>
  </si>
  <si>
    <t>Concrete Price ($/yard):</t>
  </si>
  <si>
    <t>Labor Rate ($/hour):</t>
  </si>
  <si>
    <t>Material Markup (%):</t>
  </si>
  <si>
    <t>Overhead (%):</t>
  </si>
  <si>
    <t>Profit Margin (%):</t>
  </si>
  <si>
    <t>CALCULATED RESULTS</t>
  </si>
  <si>
    <t>Area (sq ft)</t>
  </si>
  <si>
    <t>Volume (cubic ft)</t>
  </si>
  <si>
    <t>Cubic Yards (raw)</t>
  </si>
  <si>
    <t>Cubic Yards (with 10% waste)</t>
  </si>
  <si>
    <t/>
  </si>
  <si>
    <t>MATERIALS COST</t>
  </si>
  <si>
    <t xml:space="preserve">  Concrete cost</t>
  </si>
  <si>
    <t xml:space="preserve">  Materials with markup</t>
  </si>
  <si>
    <t>LABOR</t>
  </si>
  <si>
    <t xml:space="preserve">  Estimated labor hours</t>
  </si>
  <si>
    <t xml:space="preserve">  Labor cost</t>
  </si>
  <si>
    <t>EQUIPMENT COST</t>
  </si>
  <si>
    <t>SUBTOTAL</t>
  </si>
  <si>
    <t>Overhead</t>
  </si>
  <si>
    <t>Pre-profit total</t>
  </si>
  <si>
    <t>Profit</t>
  </si>
  <si>
    <t>← Profit Margin Check:</t>
  </si>
  <si>
    <t>TOTAL BID</t>
  </si>
  <si>
    <t>Price per SF</t>
  </si>
  <si>
    <t>PAYMENT TERMS</t>
  </si>
  <si>
    <t>• 50% deposit upon acceptance</t>
  </si>
  <si>
    <t>• 40% upon completion of pour</t>
  </si>
  <si>
    <t>• 10% final payment after walkthrough</t>
  </si>
  <si>
    <t>Client Signature: ________________________     Date: ________</t>
  </si>
  <si>
    <t>Contractor Signature: ________________________     Date: ________</t>
  </si>
  <si>
    <t>COMPANY SETUP</t>
  </si>
  <si>
    <t>Company Name</t>
  </si>
  <si>
    <t>Street Address</t>
  </si>
  <si>
    <t>City, State ZIP</t>
  </si>
  <si>
    <t>Phone Number</t>
  </si>
  <si>
    <t>Email Address</t>
  </si>
  <si>
    <t>Website</t>
  </si>
  <si>
    <t>Contractor License #</t>
  </si>
  <si>
    <t>Insurance Policy #</t>
  </si>
  <si>
    <t>Tax ID / EIN</t>
  </si>
  <si>
    <t>Logo (paste here)</t>
  </si>
  <si>
    <t>CONCRETE PRICING REFERENCE (2024-2025)</t>
  </si>
  <si>
    <t>Regional Concrete Prices (per cubic yard)</t>
  </si>
  <si>
    <t>Region</t>
  </si>
  <si>
    <t>Low</t>
  </si>
  <si>
    <t>Average</t>
  </si>
  <si>
    <t>High</t>
  </si>
  <si>
    <t>Notes</t>
  </si>
  <si>
    <t>Northeast</t>
  </si>
  <si>
    <t>NYC metro premium</t>
  </si>
  <si>
    <t>Southeast</t>
  </si>
  <si>
    <t>Year-round pouring</t>
  </si>
  <si>
    <t>Midwest</t>
  </si>
  <si>
    <t>Seasonal premiums</t>
  </si>
  <si>
    <t>Southwest</t>
  </si>
  <si>
    <t>Desert conditions</t>
  </si>
  <si>
    <t>West Coast</t>
  </si>
  <si>
    <t>CA regulatory costs</t>
  </si>
  <si>
    <t>Pacific NW</t>
  </si>
  <si>
    <t>Rain season impacts</t>
  </si>
  <si>
    <t>Mountain</t>
  </si>
  <si>
    <t>Altitude adjustments</t>
  </si>
  <si>
    <t>Texas/South Central</t>
  </si>
  <si>
    <t>Competitive market</t>
  </si>
  <si>
    <t>Pricing by Project Type (per square foot)</t>
  </si>
  <si>
    <t>Project Type</t>
  </si>
  <si>
    <t>Budget</t>
  </si>
  <si>
    <t>Mid-Range</t>
  </si>
  <si>
    <t>Premium</t>
  </si>
  <si>
    <t>Basic Slab (4")</t>
  </si>
  <si>
    <t>$6–$8</t>
  </si>
  <si>
    <t>$8–$10</t>
  </si>
  <si>
    <t>$10–$14</t>
  </si>
  <si>
    <t>$14–$18</t>
  </si>
  <si>
    <t>Patio</t>
  </si>
  <si>
    <t>$8–$12</t>
  </si>
  <si>
    <t>$12–$16</t>
  </si>
  <si>
    <t>$16–$25</t>
  </si>
  <si>
    <t>Stamped Concrete</t>
  </si>
  <si>
    <t>$16–$22</t>
  </si>
  <si>
    <t>$22–$30</t>
  </si>
  <si>
    <t>Foundation</t>
  </si>
  <si>
    <t>$12–$15</t>
  </si>
  <si>
    <t>$15–$20</t>
  </si>
  <si>
    <t>Sidewalk</t>
  </si>
  <si>
    <t>Concrete Repair</t>
  </si>
  <si>
    <t>$5–$8</t>
  </si>
  <si>
    <t>$12–$18</t>
  </si>
  <si>
    <t>Polished Concrete</t>
  </si>
  <si>
    <t>$3–$5</t>
  </si>
  <si>
    <t>Typical Labor Rates</t>
  </si>
  <si>
    <t>Role</t>
  </si>
  <si>
    <t>General Laborer</t>
  </si>
  <si>
    <t>$15/hr</t>
  </si>
  <si>
    <t>$18/hr</t>
  </si>
  <si>
    <t>$22/hr</t>
  </si>
  <si>
    <t>Form Carpenter</t>
  </si>
  <si>
    <t>$20/hr</t>
  </si>
  <si>
    <t>$28/hr</t>
  </si>
  <si>
    <t>$35/hr</t>
  </si>
  <si>
    <t>Finisher</t>
  </si>
  <si>
    <t>$25/hr</t>
  </si>
  <si>
    <t>$45/hr</t>
  </si>
  <si>
    <t>Stamping Specialist</t>
  </si>
  <si>
    <t>$30/hr</t>
  </si>
  <si>
    <t>$40/hr</t>
  </si>
  <si>
    <t>$55/hr</t>
  </si>
  <si>
    <t>Foreman</t>
  </si>
  <si>
    <t>$50/hr</t>
  </si>
  <si>
    <t>Equipment Operator</t>
  </si>
  <si>
    <t>$32/hr</t>
  </si>
  <si>
    <t>$42/hr</t>
  </si>
  <si>
    <t>YOUR CUSTOM PRICING CALCULATOR</t>
  </si>
  <si>
    <t>Enter your rates below — your per-SF prices auto-calculate for each project type</t>
  </si>
  <si>
    <t>YOUR RATES</t>
  </si>
  <si>
    <t>Your Hourly Labor Rate:</t>
  </si>
  <si>
    <t>Overhead %:</t>
  </si>
  <si>
    <t>Desired Profit %:</t>
  </si>
  <si>
    <t>Concrete Cost ($/CY):</t>
  </si>
  <si>
    <t>YOUR AUTO-CALCULATED PRICING PER SQUARE FOOT</t>
  </si>
  <si>
    <t>Base Material/SF</t>
  </si>
  <si>
    <t>Labor Hrs/SF</t>
  </si>
  <si>
    <t>Labor $/SF</t>
  </si>
  <si>
    <t>Your Price/SF</t>
  </si>
  <si>
    <t>Min Job Charge</t>
  </si>
  <si>
    <t>Driveway (4-6")</t>
  </si>
  <si>
    <t>Patio (basic)</t>
  </si>
  <si>
    <t>Patio (decorative)</t>
  </si>
  <si>
    <t>Foundation (footings)</t>
  </si>
  <si>
    <t>Foundation (walls)</t>
  </si>
  <si>
    <t>Garage Floor</t>
  </si>
  <si>
    <t>Pool Deck</t>
  </si>
  <si>
    <t>Retaining Wall</t>
  </si>
  <si>
    <t>Steps/Landing</t>
  </si>
  <si>
    <t>SEASONAL ADJUSTMENT FACTORS</t>
  </si>
  <si>
    <t>Season</t>
  </si>
  <si>
    <t>Multiplier</t>
  </si>
  <si>
    <t>Reason</t>
  </si>
  <si>
    <t>Spring (Mar-May)</t>
  </si>
  <si>
    <t>Peak season — standard pricing</t>
  </si>
  <si>
    <t>Summer (Jun-Aug)</t>
  </si>
  <si>
    <t>High demand — slight premium</t>
  </si>
  <si>
    <t>Fall (Sep-Nov)</t>
  </si>
  <si>
    <t>Shoulder season — competitive pricing</t>
  </si>
  <si>
    <t>Winter (Dec-Feb)</t>
  </si>
  <si>
    <t>Cold weather premium — heated concrete, blankets, shorter days</t>
  </si>
  <si>
    <t>JOB PROFITABILITY TRACKER</t>
  </si>
  <si>
    <t>Track every completed job to understand your true profitability. Fill in after each job is finished.</t>
  </si>
  <si>
    <t>#</t>
  </si>
  <si>
    <t>Job Name / Address</t>
  </si>
  <si>
    <t>Quoted Price</t>
  </si>
  <si>
    <t>Actual Materials</t>
  </si>
  <si>
    <t>Actual Labor</t>
  </si>
  <si>
    <t>Other Costs</t>
  </si>
  <si>
    <t>Actual Profit</t>
  </si>
  <si>
    <t>Profit Margin %</t>
  </si>
  <si>
    <t>TOTALS / AVERAGES</t>
  </si>
  <si>
    <t>Average Quoted Price:</t>
  </si>
  <si>
    <t>Average Profit per Job:</t>
  </si>
  <si>
    <t>Average Profit Margin:</t>
  </si>
  <si>
    <t>Total Jobs Completed:</t>
  </si>
  <si>
    <t>CONCRETE QUICK REFERENCE GUIDE</t>
  </si>
  <si>
    <t>Common mix ratios, rebar spacing, curing times, and PSI recommendations</t>
  </si>
  <si>
    <t>CONCRETE MIX RATIOS</t>
  </si>
  <si>
    <t>Mix Type</t>
  </si>
  <si>
    <t>Cement</t>
  </si>
  <si>
    <t>Sand</t>
  </si>
  <si>
    <t>Gravel</t>
  </si>
  <si>
    <t>Use Case</t>
  </si>
  <si>
    <t>Standard (1:2:3)</t>
  </si>
  <si>
    <t>1 part</t>
  </si>
  <si>
    <t>2 parts</t>
  </si>
  <si>
    <t>3 parts</t>
  </si>
  <si>
    <t>General purpose — slabs, footings, walls</t>
  </si>
  <si>
    <t>Rich (1:1.5:3)</t>
  </si>
  <si>
    <t>1.5 parts</t>
  </si>
  <si>
    <t>High strength — driveways, garage floors</t>
  </si>
  <si>
    <t>Lean (1:3:6)</t>
  </si>
  <si>
    <t>6 parts</t>
  </si>
  <si>
    <t>Non-structural — fill, leveling, base</t>
  </si>
  <si>
    <t>High Strength (1:1:2)</t>
  </si>
  <si>
    <t>Structural columns, beams, heavy loads</t>
  </si>
  <si>
    <t>Self-Leveling</t>
  </si>
  <si>
    <t>Pre-mixed</t>
  </si>
  <si>
    <t>—</t>
  </si>
  <si>
    <t>Floor overlays, leveling compound</t>
  </si>
  <si>
    <t>Fiber-Reinforced</t>
  </si>
  <si>
    <t>Standard +</t>
  </si>
  <si>
    <t>fiber mesh</t>
  </si>
  <si>
    <t>Replaces wire mesh in thin slabs</t>
  </si>
  <si>
    <t>REBAR SPACING CHART</t>
  </si>
  <si>
    <t>Slab Thickness</t>
  </si>
  <si>
    <t>Rebar Size</t>
  </si>
  <si>
    <t>Spacing</t>
  </si>
  <si>
    <t>Cover</t>
  </si>
  <si>
    <t>Application</t>
  </si>
  <si>
    <t>4" slab (residential)</t>
  </si>
  <si>
    <t>#3 or #4</t>
  </si>
  <si>
    <t>18" × 18"</t>
  </si>
  <si>
    <t>1.5" from bottom</t>
  </si>
  <si>
    <t>Patios, sidewalks, light duty</t>
  </si>
  <si>
    <t>4" slab (driveway)</t>
  </si>
  <si>
    <t>#4</t>
  </si>
  <si>
    <t>12" × 12"</t>
  </si>
  <si>
    <t>2" from bottom</t>
  </si>
  <si>
    <t>Residential driveways</t>
  </si>
  <si>
    <t>5" slab (heavy)</t>
  </si>
  <si>
    <t>Heavy vehicle traffic</t>
  </si>
  <si>
    <t>6" slab (commercial)</t>
  </si>
  <si>
    <t>#4 or #5</t>
  </si>
  <si>
    <t>Commercial, industrial</t>
  </si>
  <si>
    <t>Footings (residential)</t>
  </si>
  <si>
    <t>12" OC both ways</t>
  </si>
  <si>
    <t>3" from earth</t>
  </si>
  <si>
    <t>Continuous footings</t>
  </si>
  <si>
    <t>Footings (structural)</t>
  </si>
  <si>
    <t>#5 or #6</t>
  </si>
  <si>
    <t>Per engineer</t>
  </si>
  <si>
    <t>Must follow structural plans</t>
  </si>
  <si>
    <t>Walls (8")</t>
  </si>
  <si>
    <t>#4 vertical</t>
  </si>
  <si>
    <t>12-16" OC</t>
  </si>
  <si>
    <t>1.5" from face</t>
  </si>
  <si>
    <t>Foundation walls</t>
  </si>
  <si>
    <t>Walls (10-12")</t>
  </si>
  <si>
    <t>#5 vertical</t>
  </si>
  <si>
    <t>12" OC + horizontal</t>
  </si>
  <si>
    <t>Tall/structural walls</t>
  </si>
  <si>
    <t>CURING TIMES &amp; STRENGTH DEVELOPMENT</t>
  </si>
  <si>
    <t>Time After Pour</t>
  </si>
  <si>
    <t>% of Full Strength</t>
  </si>
  <si>
    <t>What You Can Do</t>
  </si>
  <si>
    <t>Temperature Notes</t>
  </si>
  <si>
    <t>24 hours</t>
  </si>
  <si>
    <t>~15-20%</t>
  </si>
  <si>
    <t>Remove forms, light foot traffic only</t>
  </si>
  <si>
    <t>Below 50°F: extend to 48 hours</t>
  </si>
  <si>
    <t>3 days</t>
  </si>
  <si>
    <t>~40%</t>
  </si>
  <si>
    <t>Light foot traffic OK</t>
  </si>
  <si>
    <t>Keep moist or apply curing compound</t>
  </si>
  <si>
    <t>7 days</t>
  </si>
  <si>
    <t>~65-70%</t>
  </si>
  <si>
    <t>Vehicle traffic on driveways</t>
  </si>
  <si>
    <t>Below 40°F: extend to 10-14 days</t>
  </si>
  <si>
    <t>14 days</t>
  </si>
  <si>
    <t>~85-90%</t>
  </si>
  <si>
    <t>Normal use for most applications</t>
  </si>
  <si>
    <t>Hot weather: may reach 90% at 10 days</t>
  </si>
  <si>
    <t>28 days</t>
  </si>
  <si>
    <t>~100%</t>
  </si>
  <si>
    <t>Full design strength reached</t>
  </si>
  <si>
    <t>Standard engineering benchmark</t>
  </si>
  <si>
    <t>56 days</t>
  </si>
  <si>
    <t>~105-110%</t>
  </si>
  <si>
    <t>Concrete continues to strengthen slowly</t>
  </si>
  <si>
    <t>Strength gain continues for years</t>
  </si>
  <si>
    <t>PSI RECOMMENDATIONS BY PROJECT TYPE</t>
  </si>
  <si>
    <t>Min PSI</t>
  </si>
  <si>
    <t>Recommended</t>
  </si>
  <si>
    <t>Max Slump</t>
  </si>
  <si>
    <t>Sidewalks / Paths</t>
  </si>
  <si>
    <t>3000</t>
  </si>
  <si>
    <t>3500</t>
  </si>
  <si>
    <t>5"</t>
  </si>
  <si>
    <t>Air-entrained in freeze/thaw areas</t>
  </si>
  <si>
    <t>Patios (basic)</t>
  </si>
  <si>
    <t>Air-entrained recommended</t>
  </si>
  <si>
    <t>Driveways</t>
  </si>
  <si>
    <t>4000</t>
  </si>
  <si>
    <t>4-5"</t>
  </si>
  <si>
    <t>Higher PSI = better durability</t>
  </si>
  <si>
    <t>Garage Floors</t>
  </si>
  <si>
    <t>4000-4500</t>
  </si>
  <si>
    <t>4"</t>
  </si>
  <si>
    <t>Lower slump for better finish</t>
  </si>
  <si>
    <t>Stamped/Decorative</t>
  </si>
  <si>
    <t>Lower slump for stamp definition</t>
  </si>
  <si>
    <t>Foundations (residential)</t>
  </si>
  <si>
    <t>3500-4000</t>
  </si>
  <si>
    <t>Per structural engineer spec</t>
  </si>
  <si>
    <t>Foundation Walls</t>
  </si>
  <si>
    <t>Pumpable mix if using pump</t>
  </si>
  <si>
    <t>Commercial Slabs</t>
  </si>
  <si>
    <t>4500-5000</t>
  </si>
  <si>
    <t>Often specified by engineer</t>
  </si>
  <si>
    <t>High-Traffic / Industrial</t>
  </si>
  <si>
    <t>4500</t>
  </si>
  <si>
    <t>5000+</t>
  </si>
  <si>
    <t>3-4"</t>
  </si>
  <si>
    <t>May need fiber or rebar</t>
  </si>
  <si>
    <t>Smoother aggregate for polish</t>
  </si>
  <si>
    <t>QUICK CONVERSIONS &amp; FORMULAS</t>
  </si>
  <si>
    <t>Cubic Yards = (Length × Width × Thickness in inches) ÷ 324</t>
  </si>
  <si>
    <t>Square Feet to Cubic Yards (4" thick): SF ÷ 81 = CY</t>
  </si>
  <si>
    <t>Square Feet to Cubic Yards (6" thick): SF ÷ 54 = CY</t>
  </si>
  <si>
    <t>1 Cubic Yard = 27 cubic feet = ~4,050 lbs</t>
  </si>
  <si>
    <t>1 Cubic Yard covers: 81 SF at 4" thick, 54 SF at 6" thick</t>
  </si>
  <si>
    <t>Always add 10% waste factor to calculated cubic yards</t>
  </si>
  <si>
    <t>Bags per CY: ~45 bags (80 lb) or ~60 bags (60 lb) per cubic yard</t>
  </si>
  <si>
    <t>Water/cement ratio: 0.45-0.50 for most residential work</t>
  </si>
  <si>
    <t>Control joint spacing (ft) = Slab thickness (inches) × 2.5</t>
  </si>
  <si>
    <t>Minimum slope for drainage: 1/8" per foot (1% grade)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</si>
</sst>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0.00x"/>
    <numFmt numFmtId="166" formatCode="0.0%"/>
  </numFmts>
  <fonts count="24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color rgb="FF1E293B"/>
      <sz val="18"/>
    </font>
    <font>
      <b/>
      <color rgb="FF1E293B"/>
      <sz val="14"/>
    </font>
    <font>
      <b/>
      <color rgb="FF1E293B"/>
      <sz val="10"/>
    </font>
    <font>
      <b/>
      <color rgb="FFFFFFFF"/>
      <sz val="11"/>
    </font>
    <font>
      <b/>
      <color rgb="FF1E293B"/>
      <sz val="11"/>
    </font>
    <font>
      <i/>
      <color rgb="FF64748B"/>
      <sz val="9"/>
    </font>
    <font>
      <sz val="9"/>
    </font>
    <font>
      <b/>
      <color rgb="FFFFFFFF"/>
      <sz val="14"/>
    </font>
    <font>
      <b/>
      <sz val="11"/>
    </font>
    <font>
      <b/>
      <sz val="16"/>
    </font>
    <font>
      <b/>
      <sz val="14"/>
    </font>
    <font>
      <b/>
      <color rgb="FF475569"/>
      <sz val="11"/>
    </font>
    <font>
      <b/>
    </font>
    <font>
      <i/>
      <sz val="9"/>
    </font>
  </fonts>
  <fills count="8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1E293B"/>
      </patternFill>
    </fill>
    <fill>
      <patternFill patternType="solid">
        <fgColor rgb="FF10B981"/>
      </patternFill>
    </fill>
    <fill>
      <patternFill patternType="solid">
        <fgColor rgb="FFF1F5F9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2" fillId="3" borderId="0" xfId="0" applyFont="1" applyFill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4" fillId="0" borderId="0" xfId="0" applyFont="1"/>
    <xf numFmtId="0" fontId="12" fillId="0" borderId="0" xfId="0" applyFont="1"/>
    <xf numFmtId="0" fontId="0" fillId="2" borderId="0" xfId="0" applyFill="1"/>
    <xf numFmtId="0" fontId="13" fillId="4" borderId="1" xfId="0" applyFont="1" applyFill="1" applyBorder="1"/>
    <xf numFmtId="0" fontId="0" fillId="2" borderId="1" xfId="0" applyFill="1" applyBorder="1"/>
    <xf numFmtId="164" fontId="0" fillId="2" borderId="1" xfId="0" applyNumberFormat="1" applyFill="1" applyBorder="1"/>
    <xf numFmtId="9" fontId="0" fillId="2" borderId="1" xfId="0" applyNumberFormat="1" applyFill="1" applyBorder="1"/>
    <xf numFmtId="0" fontId="0" fillId="0" borderId="1" xfId="0" applyBorder="1"/>
    <xf numFmtId="4" fontId="0" fillId="0" borderId="1" xfId="0" applyNumberFormat="1" applyBorder="1"/>
    <xf numFmtId="0" fontId="14" fillId="0" borderId="1" xfId="0" applyFont="1" applyBorder="1"/>
    <xf numFmtId="164" fontId="0" fillId="0" borderId="1" xfId="0" applyNumberFormat="1" applyBorder="1"/>
    <xf numFmtId="0" fontId="15" fillId="0" borderId="0" xfId="0" applyFont="1"/>
    <xf numFmtId="0" fontId="16" fillId="0" borderId="0" xfId="0" applyFont="1"/>
    <xf numFmtId="0" fontId="17" fillId="5" borderId="1" xfId="0" applyFont="1" applyFill="1" applyBorder="1"/>
    <xf numFmtId="164" fontId="17" fillId="5" borderId="1" xfId="0" applyNumberFormat="1" applyFont="1" applyFill="1" applyBorder="1"/>
    <xf numFmtId="0" fontId="0" fillId="5" borderId="1" xfId="0" applyFill="1" applyBorder="1"/>
    <xf numFmtId="0" fontId="18" fillId="0" borderId="0" xfId="0" applyFont="1"/>
    <xf numFmtId="0" fontId="19" fillId="0" borderId="0" xfId="0" applyFont="1"/>
    <xf numFmtId="0" fontId="4" fillId="0" borderId="1" xfId="0" applyFont="1" applyBorder="1"/>
    <xf numFmtId="0" fontId="20" fillId="0" borderId="0" xfId="0" applyFont="1"/>
    <xf numFmtId="0" fontId="21" fillId="0" borderId="0" xfId="0" applyFont="1"/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2" fontId="0" fillId="0" borderId="1" xfId="0" applyNumberFormat="1" applyBorder="1"/>
    <xf numFmtId="164" fontId="22" fillId="7" borderId="1" xfId="0" applyNumberFormat="1" applyFont="1" applyFill="1" applyBorder="1"/>
    <xf numFmtId="165" fontId="0" fillId="2" borderId="1" xfId="0" applyNumberFormat="1" applyFill="1" applyBorder="1"/>
    <xf numFmtId="0" fontId="0" fillId="0" borderId="1" xfId="0" applyBorder="1" applyAlignment="1">
      <alignment horizontal="center"/>
    </xf>
    <xf numFmtId="166" fontId="0" fillId="0" borderId="1" xfId="0" applyNumberFormat="1" applyBorder="1"/>
    <xf numFmtId="164" fontId="4" fillId="6" borderId="1" xfId="0" applyNumberFormat="1" applyFont="1" applyFill="1" applyBorder="1"/>
    <xf numFmtId="166" fontId="4" fillId="6" borderId="1" xfId="0" applyNumberFormat="1" applyFont="1" applyFill="1" applyBorder="1"/>
    <xf numFmtId="0" fontId="22" fillId="0" borderId="0" xfId="0" applyFont="1"/>
    <xf numFmtId="164" fontId="0" fillId="0" borderId="0" xfId="0" applyNumberFormat="1"/>
    <xf numFmtId="166" fontId="0" fillId="0" borderId="0" xfId="0" applyNumberFormat="1"/>
    <xf numFmtId="0" fontId="13" fillId="4" borderId="0" xfId="0" applyFont="1" applyFill="1"/>
    <xf numFmtId="0" fontId="22" fillId="0" borderId="1" xfId="0" applyFont="1" applyBorder="1"/>
    <xf numFmtId="0" fontId="16" fillId="0" borderId="1" xfId="0" applyFont="1" applyBorder="1"/>
    <xf numFmtId="0" fontId="23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38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3" spans="1:2" x14ac:dyDescent="0.25">
      <c r="A13" s="4" t="s">
        <v>16</v>
      </c>
      <c r="B13" s="3" t="s">
        <v>17</v>
      </c>
    </row>
    <row r="14" spans="1:2" x14ac:dyDescent="0.25">
      <c r="A14" s="4" t="s">
        <v>18</v>
      </c>
      <c r="B14" s="3" t="s">
        <v>19</v>
      </c>
    </row>
    <row r="15" spans="1:2" x14ac:dyDescent="0.25">
      <c r="A15" s="4" t="s">
        <v>20</v>
      </c>
      <c r="B15" s="3" t="s">
        <v>21</v>
      </c>
    </row>
    <row r="16" spans="1:2" x14ac:dyDescent="0.25">
      <c r="A16" s="4" t="s">
        <v>22</v>
      </c>
      <c r="B16" s="3" t="s">
        <v>23</v>
      </c>
    </row>
    <row r="18" spans="1:2" x14ac:dyDescent="0.25">
      <c r="A18" s="5" t="s">
        <v>24</v>
      </c>
      <c r="B18" s="5"/>
    </row>
    <row r="19" spans="1:2" x14ac:dyDescent="0.25">
      <c r="A19" s="6" t="s">
        <v>25</v>
      </c>
      <c r="B19" s="6"/>
    </row>
    <row r="20" spans="1:2" x14ac:dyDescent="0.25">
      <c r="A20" s="7" t="s">
        <v>26</v>
      </c>
      <c r="B20" s="7"/>
    </row>
    <row r="22" spans="1:2" x14ac:dyDescent="0.25">
      <c r="A22" s="8" t="s">
        <v>27</v>
      </c>
      <c r="B22" s="8"/>
    </row>
    <row r="23" ht="28" customHeight="1" spans="1:2" x14ac:dyDescent="0.25">
      <c r="A23" s="3" t="s">
        <v>28</v>
      </c>
      <c r="B23" s="3"/>
    </row>
    <row r="24" ht="28" customHeight="1" spans="1:2" x14ac:dyDescent="0.25">
      <c r="A24" s="3" t="s">
        <v>29</v>
      </c>
      <c r="B24" s="3"/>
    </row>
    <row r="25" ht="28" customHeight="1" spans="1:2" x14ac:dyDescent="0.25">
      <c r="A25" s="3" t="s">
        <v>30</v>
      </c>
      <c r="B25" s="3"/>
    </row>
    <row r="26" ht="28" customHeight="1" spans="1:2" x14ac:dyDescent="0.25">
      <c r="A26" s="3" t="s">
        <v>31</v>
      </c>
      <c r="B26" s="3"/>
    </row>
    <row r="27" ht="28" customHeight="1" spans="1:2" x14ac:dyDescent="0.25">
      <c r="A27" s="3" t="s">
        <v>32</v>
      </c>
      <c r="B27" s="3"/>
    </row>
    <row r="29" spans="1:2" x14ac:dyDescent="0.25">
      <c r="A29" s="2" t="s">
        <v>33</v>
      </c>
      <c r="B29" s="2"/>
    </row>
    <row r="30" spans="1:2" x14ac:dyDescent="0.25">
      <c r="A30" s="9" t="s">
        <v>34</v>
      </c>
      <c r="B30" s="9"/>
    </row>
    <row r="31" spans="1:2" x14ac:dyDescent="0.25">
      <c r="A31" s="9" t="s">
        <v>35</v>
      </c>
      <c r="B31" s="9"/>
    </row>
    <row r="32" spans="1:2" x14ac:dyDescent="0.25">
      <c r="A32" s="9" t="s">
        <v>36</v>
      </c>
      <c r="B32" s="9"/>
    </row>
    <row r="33" spans="1:2" x14ac:dyDescent="0.25">
      <c r="A33" s="9" t="s">
        <v>37</v>
      </c>
      <c r="B33" s="9"/>
    </row>
    <row r="34" spans="1:2" x14ac:dyDescent="0.25">
      <c r="A34" s="9" t="s">
        <v>38</v>
      </c>
      <c r="B34" s="9"/>
    </row>
    <row r="35" spans="1:2" x14ac:dyDescent="0.25">
      <c r="A35" s="9" t="s">
        <v>39</v>
      </c>
      <c r="B35" s="9"/>
    </row>
    <row r="37" spans="1:2" x14ac:dyDescent="0.25">
      <c r="A37" s="10" t="s">
        <v>40</v>
      </c>
      <c r="B37" s="10"/>
    </row>
    <row r="38" spans="1:2" x14ac:dyDescent="0.25">
      <c r="A38" s="11" t="s">
        <v>41</v>
      </c>
      <c r="B38" s="11"/>
    </row>
  </sheetData>
  <mergeCells count="22">
    <mergeCell ref="A1:B1"/>
    <mergeCell ref="A3:B3"/>
    <mergeCell ref="A4:B4"/>
    <mergeCell ref="A6:B6"/>
    <mergeCell ref="A18:B18"/>
    <mergeCell ref="A19:B19"/>
    <mergeCell ref="A20:B20"/>
    <mergeCell ref="A22:B22"/>
    <mergeCell ref="A23:B23"/>
    <mergeCell ref="A24:B24"/>
    <mergeCell ref="A25:B25"/>
    <mergeCell ref="A26:B26"/>
    <mergeCell ref="A27:B27"/>
    <mergeCell ref="A29:B29"/>
    <mergeCell ref="A30:B30"/>
    <mergeCell ref="A31:B31"/>
    <mergeCell ref="A32:B32"/>
    <mergeCell ref="A33:B33"/>
    <mergeCell ref="A34:B34"/>
    <mergeCell ref="A35:B35"/>
    <mergeCell ref="A37:B37"/>
    <mergeCell ref="A38:B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2"/>
  <sheetFormatPr defaultRowHeight="15" outlineLevelRow="0" outlineLevelCol="0" x14ac:dyDescent="55"/>
  <cols>
    <col min="1" max="1" width="28" customWidth="1"/>
    <col min="2" max="2" width="18" customWidth="1"/>
    <col min="3" max="4" width="14" customWidth="1"/>
    <col min="5" max="6" width="16" customWidth="1"/>
  </cols>
  <sheetData>
    <row r="1" ht="30" customHeight="1" spans="1:6" x14ac:dyDescent="0.25">
      <c r="A1" s="12" t="s">
        <v>42</v>
      </c>
      <c r="B1" s="12"/>
      <c r="C1" s="12"/>
      <c r="D1" s="12"/>
      <c r="E1" s="12"/>
      <c r="F1" s="12"/>
    </row>
    <row r="2" spans="1:6" x14ac:dyDescent="0.25">
      <c r="A2" s="11" t="s">
        <v>43</v>
      </c>
      <c r="B2" s="11"/>
      <c r="C2" s="11"/>
      <c r="D2" s="11"/>
      <c r="E2" s="11"/>
      <c r="F2" s="11"/>
    </row>
    <row r="3" ht="25" customHeight="1" spans="1:6" x14ac:dyDescent="0.25">
      <c r="A3" s="13" t="s">
        <v>44</v>
      </c>
      <c r="B3" s="13"/>
      <c r="C3" s="13"/>
      <c r="D3" s="13"/>
      <c r="E3" s="13"/>
      <c r="F3" s="13"/>
    </row>
    <row r="4" spans="1:5" x14ac:dyDescent="0.25">
      <c r="A4" s="14" t="s">
        <v>45</v>
      </c>
      <c r="B4" t="s">
        <v>46</v>
      </c>
      <c r="D4" s="14" t="s">
        <v>47</v>
      </c>
      <c r="E4" t="s">
        <v>48</v>
      </c>
    </row>
    <row r="6" spans="1:1" x14ac:dyDescent="0.25">
      <c r="A6" s="15" t="s">
        <v>49</v>
      </c>
    </row>
    <row r="7" spans="1:2" x14ac:dyDescent="0.25">
      <c r="A7" s="14" t="s">
        <v>50</v>
      </c>
      <c r="B7" s="16" t="s">
        <v>51</v>
      </c>
    </row>
    <row r="8" spans="1:2" x14ac:dyDescent="0.25">
      <c r="A8" s="14" t="s">
        <v>52</v>
      </c>
      <c r="B8" s="16" t="s">
        <v>53</v>
      </c>
    </row>
    <row r="9" spans="1:2" x14ac:dyDescent="0.25">
      <c r="A9" s="14" t="s">
        <v>54</v>
      </c>
      <c r="B9" s="16" t="s">
        <v>55</v>
      </c>
    </row>
    <row r="10" spans="1:2" x14ac:dyDescent="0.25">
      <c r="A10" s="14" t="s">
        <v>56</v>
      </c>
      <c r="B10" s="16" t="s">
        <v>57</v>
      </c>
    </row>
    <row r="12" spans="1:6" x14ac:dyDescent="0.25">
      <c r="A12" s="17" t="s">
        <v>58</v>
      </c>
      <c r="B12" s="17"/>
      <c r="C12" s="17"/>
      <c r="D12" s="17"/>
      <c r="E12" s="17"/>
      <c r="F12" s="17"/>
    </row>
    <row r="13" spans="1:5" x14ac:dyDescent="0.25">
      <c r="A13" s="14" t="s">
        <v>59</v>
      </c>
      <c r="B13" s="18" t="s">
        <v>60</v>
      </c>
      <c r="D13" s="14" t="s">
        <v>61</v>
      </c>
      <c r="E13" s="18" t="s">
        <v>62</v>
      </c>
    </row>
    <row r="14" spans="1:5" x14ac:dyDescent="0.25">
      <c r="A14" s="14" t="s">
        <v>63</v>
      </c>
      <c r="B14" s="18">
        <v>20</v>
      </c>
      <c r="D14" s="14" t="s">
        <v>64</v>
      </c>
      <c r="E14" s="18">
        <v>20</v>
      </c>
    </row>
    <row r="15" spans="1:2" x14ac:dyDescent="0.25">
      <c r="A15" s="14" t="s">
        <v>65</v>
      </c>
      <c r="B15" s="18">
        <v>4</v>
      </c>
    </row>
    <row r="16" spans="1:2" x14ac:dyDescent="0.25">
      <c r="A16" s="14" t="s">
        <v>66</v>
      </c>
      <c r="B16" s="19">
        <v>150</v>
      </c>
    </row>
    <row r="17" spans="1:2" x14ac:dyDescent="0.25">
      <c r="A17" s="14" t="s">
        <v>67</v>
      </c>
      <c r="B17" s="19">
        <v>55</v>
      </c>
    </row>
    <row r="18" spans="1:2" x14ac:dyDescent="0.25">
      <c r="A18" s="14" t="s">
        <v>68</v>
      </c>
      <c r="B18" s="20">
        <v>0.15</v>
      </c>
    </row>
    <row r="19" spans="1:2" x14ac:dyDescent="0.25">
      <c r="A19" s="14" t="s">
        <v>69</v>
      </c>
      <c r="B19" s="20">
        <v>0.1</v>
      </c>
    </row>
    <row r="20" spans="1:2" x14ac:dyDescent="0.25">
      <c r="A20" s="14" t="s">
        <v>70</v>
      </c>
      <c r="B20" s="20">
        <v>0.2</v>
      </c>
    </row>
    <row r="22" spans="1:6" x14ac:dyDescent="0.25">
      <c r="A22" s="17" t="s">
        <v>71</v>
      </c>
      <c r="B22" s="17"/>
      <c r="C22" s="17"/>
      <c r="D22" s="17"/>
      <c r="E22" s="17"/>
      <c r="F22" s="17"/>
    </row>
    <row r="23" spans="1:2" x14ac:dyDescent="0.25">
      <c r="A23" s="21" t="s">
        <v>72</v>
      </c>
      <c r="B23" s="22">
        <f>B14*E14</f>
      </c>
    </row>
    <row r="24" spans="1:2" x14ac:dyDescent="0.25">
      <c r="A24" s="21" t="s">
        <v>73</v>
      </c>
      <c r="B24" s="22">
        <f>B23*B15/12</f>
      </c>
    </row>
    <row r="25" spans="1:2" x14ac:dyDescent="0.25">
      <c r="A25" s="21" t="s">
        <v>74</v>
      </c>
      <c r="B25" s="22">
        <f>B24/27</f>
      </c>
    </row>
    <row r="26" spans="1:2" x14ac:dyDescent="0.25">
      <c r="A26" s="21" t="s">
        <v>75</v>
      </c>
      <c r="B26" s="22">
        <f>B25*1.1</f>
      </c>
    </row>
    <row r="27" spans="1:2" x14ac:dyDescent="0.25">
      <c r="A27" s="21" t="s">
        <v>76</v>
      </c>
      <c r="B27" s="21"/>
    </row>
    <row r="28" spans="1:2" x14ac:dyDescent="0.25">
      <c r="A28" s="23" t="s">
        <v>77</v>
      </c>
      <c r="B28" s="24"/>
    </row>
    <row r="29" spans="1:2" x14ac:dyDescent="0.25">
      <c r="A29" s="21" t="s">
        <v>78</v>
      </c>
      <c r="B29" s="24">
        <f>B26*B16</f>
      </c>
    </row>
    <row r="30" spans="1:2" x14ac:dyDescent="0.25">
      <c r="A30" s="21" t="s">
        <v>79</v>
      </c>
      <c r="B30" s="24">
        <f>B29*(1+B18)</f>
      </c>
    </row>
    <row r="31" spans="1:2" x14ac:dyDescent="0.25">
      <c r="A31" s="21" t="s">
        <v>76</v>
      </c>
      <c r="B31" s="21"/>
    </row>
    <row r="32" spans="1:2" x14ac:dyDescent="0.25">
      <c r="A32" s="23" t="s">
        <v>80</v>
      </c>
      <c r="B32" s="24"/>
    </row>
    <row r="33" spans="1:2" x14ac:dyDescent="0.25">
      <c r="A33" s="21" t="s">
        <v>81</v>
      </c>
      <c r="B33" s="22">
        <f>B23*0.06</f>
      </c>
    </row>
    <row r="34" spans="1:2" x14ac:dyDescent="0.25">
      <c r="A34" s="21" t="s">
        <v>82</v>
      </c>
      <c r="B34" s="24">
        <f>B33*B17</f>
      </c>
    </row>
    <row r="35" spans="1:2" x14ac:dyDescent="0.25">
      <c r="A35" s="21" t="s">
        <v>76</v>
      </c>
      <c r="B35" s="21"/>
    </row>
    <row r="36" spans="1:2" x14ac:dyDescent="0.25">
      <c r="A36" s="21" t="s">
        <v>83</v>
      </c>
      <c r="B36" s="24">
        <v>450</v>
      </c>
    </row>
    <row r="37" spans="1:2" x14ac:dyDescent="0.25">
      <c r="A37" s="21" t="s">
        <v>76</v>
      </c>
      <c r="B37" s="21"/>
    </row>
    <row r="38" spans="1:2" x14ac:dyDescent="0.25">
      <c r="A38" s="23" t="s">
        <v>84</v>
      </c>
      <c r="B38" s="24">
        <f>B30+B34+B36</f>
      </c>
    </row>
    <row r="39" spans="1:2" x14ac:dyDescent="0.25">
      <c r="A39" s="21" t="s">
        <v>85</v>
      </c>
      <c r="B39" s="24">
        <f>B38*B19</f>
      </c>
    </row>
    <row r="40" spans="1:2" x14ac:dyDescent="0.25">
      <c r="A40" s="21" t="s">
        <v>86</v>
      </c>
      <c r="B40" s="24">
        <f>B38+B39</f>
      </c>
    </row>
    <row r="41" spans="1:5" x14ac:dyDescent="0.25">
      <c r="A41" s="21" t="s">
        <v>87</v>
      </c>
      <c r="B41" s="24">
        <f>B40*B20</f>
      </c>
      <c r="D41" s="25" t="s">
        <v>88</v>
      </c>
      <c r="E41" s="26">
        <f>IF(B20&gt;=0.2,"✅ Good (≥20%)",IF(B20&gt;=0.15,"⚠️ Low (15-20%)","❌ Too Low (&lt;15%)"))</f>
      </c>
    </row>
    <row r="42" spans="1:2" x14ac:dyDescent="0.25">
      <c r="A42" s="21" t="s">
        <v>76</v>
      </c>
      <c r="B42" s="21"/>
    </row>
    <row r="43" ht="28" customHeight="1" spans="1:6" x14ac:dyDescent="0.25">
      <c r="A43" s="27" t="s">
        <v>89</v>
      </c>
      <c r="B43" s="28">
        <f>B40+B41</f>
      </c>
      <c r="C43" s="29"/>
      <c r="D43" s="29"/>
      <c r="E43" s="29"/>
      <c r="F43" s="29"/>
    </row>
    <row r="44" spans="1:2" x14ac:dyDescent="0.25">
      <c r="A44" s="21" t="s">
        <v>90</v>
      </c>
      <c r="B44" s="24">
        <f>IF(B23&gt;0,B43/B23,0)</f>
      </c>
    </row>
    <row r="46" spans="1:1" x14ac:dyDescent="0.25">
      <c r="A46" s="30" t="s">
        <v>91</v>
      </c>
    </row>
    <row r="47" spans="1:1" x14ac:dyDescent="0.25">
      <c r="A47" t="s">
        <v>92</v>
      </c>
    </row>
    <row r="48" spans="1:1" x14ac:dyDescent="0.25">
      <c r="A48" t="s">
        <v>93</v>
      </c>
    </row>
    <row r="49" spans="1:1" x14ac:dyDescent="0.25">
      <c r="A49" t="s">
        <v>94</v>
      </c>
    </row>
    <row r="51" spans="1:1" x14ac:dyDescent="0.25">
      <c r="A51" t="s">
        <v>95</v>
      </c>
    </row>
    <row r="52" spans="1:1" x14ac:dyDescent="0.25">
      <c r="A52" t="s">
        <v>96</v>
      </c>
    </row>
  </sheetData>
  <mergeCells count="5">
    <mergeCell ref="A1:F1"/>
    <mergeCell ref="A2:F2"/>
    <mergeCell ref="A3:F3"/>
    <mergeCell ref="A12:F12"/>
    <mergeCell ref="A22:F22"/>
  </mergeCells>
  <dataValidations count="2">
    <dataValidation type="list" allowBlank="1" sqref="B13">
      <formula1>"Driveway,Slab,Patio,Foundation,Stamped,Sidewalk,Steps,Retaining Wall"</formula1>
    </dataValidation>
    <dataValidation type="list" allowBlank="1" sqref="E13">
      <formula1>"Broom,Smooth,Stamped,Exposed Aggregate,Polished"</formula1>
    </dataValidation>
  </dataValidations>
  <pageSetup paperSize="1" orientation="portrait" fitToWidth="1" fitToHeight="0"/>
  <headerFooter>
    <oddFooter>EstimateConcrete.com — Professional Concrete Tools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40" customWidth="1"/>
  </cols>
  <sheetData>
    <row r="1" ht="28" customHeight="1" spans="1:1" x14ac:dyDescent="0.25">
      <c r="A1" s="31" t="s">
        <v>97</v>
      </c>
    </row>
    <row r="3" spans="1:2" x14ac:dyDescent="0.25">
      <c r="A3" s="32" t="s">
        <v>98</v>
      </c>
      <c r="B3" s="18" t="s">
        <v>76</v>
      </c>
    </row>
    <row r="4" spans="1:2" x14ac:dyDescent="0.25">
      <c r="A4" s="32" t="s">
        <v>99</v>
      </c>
      <c r="B4" s="18" t="s">
        <v>76</v>
      </c>
    </row>
    <row r="5" spans="1:2" x14ac:dyDescent="0.25">
      <c r="A5" s="32" t="s">
        <v>100</v>
      </c>
      <c r="B5" s="18" t="s">
        <v>76</v>
      </c>
    </row>
    <row r="6" spans="1:2" x14ac:dyDescent="0.25">
      <c r="A6" s="32" t="s">
        <v>101</v>
      </c>
      <c r="B6" s="18" t="s">
        <v>76</v>
      </c>
    </row>
    <row r="7" spans="1:2" x14ac:dyDescent="0.25">
      <c r="A7" s="32" t="s">
        <v>102</v>
      </c>
      <c r="B7" s="18" t="s">
        <v>76</v>
      </c>
    </row>
    <row r="8" spans="1:2" x14ac:dyDescent="0.25">
      <c r="A8" s="32" t="s">
        <v>103</v>
      </c>
      <c r="B8" s="18" t="s">
        <v>76</v>
      </c>
    </row>
    <row r="9" spans="1:2" x14ac:dyDescent="0.25">
      <c r="A9" s="32" t="s">
        <v>104</v>
      </c>
      <c r="B9" s="18" t="s">
        <v>76</v>
      </c>
    </row>
    <row r="10" spans="1:2" x14ac:dyDescent="0.25">
      <c r="A10" s="32" t="s">
        <v>105</v>
      </c>
      <c r="B10" s="18" t="s">
        <v>76</v>
      </c>
    </row>
    <row r="11" spans="1:2" x14ac:dyDescent="0.25">
      <c r="A11" s="32" t="s">
        <v>106</v>
      </c>
      <c r="B11" s="18" t="s">
        <v>76</v>
      </c>
    </row>
    <row r="12" spans="1:2" x14ac:dyDescent="0.25">
      <c r="A12" s="32" t="s">
        <v>107</v>
      </c>
      <c r="B12" s="18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22" customWidth="1"/>
    <col min="2" max="5" width="16" customWidth="1"/>
  </cols>
  <sheetData>
    <row r="1" ht="26" customHeight="1" spans="1:5" x14ac:dyDescent="0.25">
      <c r="A1" s="33" t="s">
        <v>108</v>
      </c>
      <c r="B1" s="33"/>
      <c r="C1" s="33"/>
      <c r="D1" s="33"/>
      <c r="E1" s="33"/>
    </row>
    <row r="2" spans="1:1" x14ac:dyDescent="0.25">
      <c r="A2" s="34" t="s">
        <v>109</v>
      </c>
    </row>
    <row r="4" ht="22" customHeight="1" spans="1:5" x14ac:dyDescent="0.25">
      <c r="A4" s="35" t="s">
        <v>110</v>
      </c>
      <c r="B4" s="36" t="s">
        <v>111</v>
      </c>
      <c r="C4" s="36" t="s">
        <v>112</v>
      </c>
      <c r="D4" s="36" t="s">
        <v>113</v>
      </c>
      <c r="E4" s="36" t="s">
        <v>114</v>
      </c>
    </row>
    <row r="5" spans="1:5" x14ac:dyDescent="0.25">
      <c r="A5" s="21" t="s">
        <v>115</v>
      </c>
      <c r="B5" s="24">
        <v>140</v>
      </c>
      <c r="C5" s="24">
        <v>165</v>
      </c>
      <c r="D5" s="24">
        <v>195</v>
      </c>
      <c r="E5" s="21" t="s">
        <v>116</v>
      </c>
    </row>
    <row r="6" spans="1:5" x14ac:dyDescent="0.25">
      <c r="A6" s="21" t="s">
        <v>117</v>
      </c>
      <c r="B6" s="24">
        <v>120</v>
      </c>
      <c r="C6" s="24">
        <v>145</v>
      </c>
      <c r="D6" s="24">
        <v>170</v>
      </c>
      <c r="E6" s="21" t="s">
        <v>118</v>
      </c>
    </row>
    <row r="7" spans="1:5" x14ac:dyDescent="0.25">
      <c r="A7" s="21" t="s">
        <v>119</v>
      </c>
      <c r="B7" s="24">
        <v>115</v>
      </c>
      <c r="C7" s="24">
        <v>140</v>
      </c>
      <c r="D7" s="24">
        <v>165</v>
      </c>
      <c r="E7" s="21" t="s">
        <v>120</v>
      </c>
    </row>
    <row r="8" spans="1:5" x14ac:dyDescent="0.25">
      <c r="A8" s="21" t="s">
        <v>121</v>
      </c>
      <c r="B8" s="24">
        <v>125</v>
      </c>
      <c r="C8" s="24">
        <v>150</v>
      </c>
      <c r="D8" s="24">
        <v>180</v>
      </c>
      <c r="E8" s="21" t="s">
        <v>122</v>
      </c>
    </row>
    <row r="9" spans="1:5" x14ac:dyDescent="0.25">
      <c r="A9" s="21" t="s">
        <v>123</v>
      </c>
      <c r="B9" s="24">
        <v>145</v>
      </c>
      <c r="C9" s="24">
        <v>175</v>
      </c>
      <c r="D9" s="24">
        <v>210</v>
      </c>
      <c r="E9" s="21" t="s">
        <v>124</v>
      </c>
    </row>
    <row r="10" spans="1:5" x14ac:dyDescent="0.25">
      <c r="A10" s="21" t="s">
        <v>125</v>
      </c>
      <c r="B10" s="24">
        <v>135</v>
      </c>
      <c r="C10" s="24">
        <v>160</v>
      </c>
      <c r="D10" s="24">
        <v>185</v>
      </c>
      <c r="E10" s="21" t="s">
        <v>126</v>
      </c>
    </row>
    <row r="11" spans="1:5" x14ac:dyDescent="0.25">
      <c r="A11" s="21" t="s">
        <v>127</v>
      </c>
      <c r="B11" s="24">
        <v>130</v>
      </c>
      <c r="C11" s="24">
        <v>155</v>
      </c>
      <c r="D11" s="24">
        <v>180</v>
      </c>
      <c r="E11" s="21" t="s">
        <v>128</v>
      </c>
    </row>
    <row r="12" spans="1:5" x14ac:dyDescent="0.25">
      <c r="A12" s="21" t="s">
        <v>129</v>
      </c>
      <c r="B12" s="24">
        <v>110</v>
      </c>
      <c r="C12" s="24">
        <v>135</v>
      </c>
      <c r="D12" s="24">
        <v>160</v>
      </c>
      <c r="E12" s="21" t="s">
        <v>130</v>
      </c>
    </row>
    <row r="15" spans="1:1" x14ac:dyDescent="0.25">
      <c r="A15" s="34" t="s">
        <v>131</v>
      </c>
    </row>
    <row r="17" ht="22" customHeight="1" spans="1:4" x14ac:dyDescent="0.25">
      <c r="A17" s="35" t="s">
        <v>132</v>
      </c>
      <c r="B17" s="36" t="s">
        <v>133</v>
      </c>
      <c r="C17" s="36" t="s">
        <v>134</v>
      </c>
      <c r="D17" s="36" t="s">
        <v>135</v>
      </c>
    </row>
    <row r="18" spans="1:4" x14ac:dyDescent="0.25">
      <c r="A18" s="21" t="s">
        <v>136</v>
      </c>
      <c r="B18" s="21" t="s">
        <v>137</v>
      </c>
      <c r="C18" s="21" t="s">
        <v>138</v>
      </c>
      <c r="D18" s="21" t="s">
        <v>139</v>
      </c>
    </row>
    <row r="19" spans="1:4" x14ac:dyDescent="0.25">
      <c r="A19" s="21" t="s">
        <v>60</v>
      </c>
      <c r="B19" s="21" t="s">
        <v>138</v>
      </c>
      <c r="C19" s="21" t="s">
        <v>139</v>
      </c>
      <c r="D19" s="21" t="s">
        <v>140</v>
      </c>
    </row>
    <row r="20" spans="1:4" x14ac:dyDescent="0.25">
      <c r="A20" s="21" t="s">
        <v>141</v>
      </c>
      <c r="B20" s="21" t="s">
        <v>142</v>
      </c>
      <c r="C20" s="21" t="s">
        <v>143</v>
      </c>
      <c r="D20" s="21" t="s">
        <v>144</v>
      </c>
    </row>
    <row r="21" spans="1:4" x14ac:dyDescent="0.25">
      <c r="A21" s="21" t="s">
        <v>145</v>
      </c>
      <c r="B21" s="21" t="s">
        <v>143</v>
      </c>
      <c r="C21" s="21" t="s">
        <v>146</v>
      </c>
      <c r="D21" s="21" t="s">
        <v>147</v>
      </c>
    </row>
    <row r="22" spans="1:4" x14ac:dyDescent="0.25">
      <c r="A22" s="21" t="s">
        <v>148</v>
      </c>
      <c r="B22" s="21" t="s">
        <v>142</v>
      </c>
      <c r="C22" s="21" t="s">
        <v>149</v>
      </c>
      <c r="D22" s="21" t="s">
        <v>150</v>
      </c>
    </row>
    <row r="23" spans="1:4" x14ac:dyDescent="0.25">
      <c r="A23" s="21" t="s">
        <v>151</v>
      </c>
      <c r="B23" s="21" t="s">
        <v>137</v>
      </c>
      <c r="C23" s="21" t="s">
        <v>138</v>
      </c>
      <c r="D23" s="21" t="s">
        <v>139</v>
      </c>
    </row>
    <row r="24" spans="1:4" x14ac:dyDescent="0.25">
      <c r="A24" s="21" t="s">
        <v>152</v>
      </c>
      <c r="B24" s="21" t="s">
        <v>153</v>
      </c>
      <c r="C24" s="21" t="s">
        <v>142</v>
      </c>
      <c r="D24" s="21" t="s">
        <v>154</v>
      </c>
    </row>
    <row r="25" spans="1:4" x14ac:dyDescent="0.25">
      <c r="A25" s="21" t="s">
        <v>155</v>
      </c>
      <c r="B25" s="21" t="s">
        <v>156</v>
      </c>
      <c r="C25" s="21" t="s">
        <v>153</v>
      </c>
      <c r="D25" s="21" t="s">
        <v>142</v>
      </c>
    </row>
    <row r="28" spans="1:1" x14ac:dyDescent="0.25">
      <c r="A28" s="34" t="s">
        <v>157</v>
      </c>
    </row>
    <row r="30" ht="22" customHeight="1" spans="1:4" x14ac:dyDescent="0.25">
      <c r="A30" s="35" t="s">
        <v>158</v>
      </c>
      <c r="B30" s="36" t="s">
        <v>111</v>
      </c>
      <c r="C30" s="36" t="s">
        <v>112</v>
      </c>
      <c r="D30" s="36" t="s">
        <v>113</v>
      </c>
    </row>
    <row r="31" spans="1:4" x14ac:dyDescent="0.25">
      <c r="A31" s="21" t="s">
        <v>159</v>
      </c>
      <c r="B31" s="21" t="s">
        <v>160</v>
      </c>
      <c r="C31" s="21" t="s">
        <v>161</v>
      </c>
      <c r="D31" s="21" t="s">
        <v>162</v>
      </c>
    </row>
    <row r="32" spans="1:4" x14ac:dyDescent="0.25">
      <c r="A32" s="21" t="s">
        <v>163</v>
      </c>
      <c r="B32" s="21" t="s">
        <v>164</v>
      </c>
      <c r="C32" s="21" t="s">
        <v>165</v>
      </c>
      <c r="D32" s="21" t="s">
        <v>166</v>
      </c>
    </row>
    <row r="33" spans="1:4" x14ac:dyDescent="0.25">
      <c r="A33" s="21" t="s">
        <v>167</v>
      </c>
      <c r="B33" s="21" t="s">
        <v>168</v>
      </c>
      <c r="C33" s="21" t="s">
        <v>166</v>
      </c>
      <c r="D33" s="21" t="s">
        <v>169</v>
      </c>
    </row>
    <row r="34" spans="1:4" x14ac:dyDescent="0.25">
      <c r="A34" s="21" t="s">
        <v>170</v>
      </c>
      <c r="B34" s="21" t="s">
        <v>171</v>
      </c>
      <c r="C34" s="21" t="s">
        <v>172</v>
      </c>
      <c r="D34" s="21" t="s">
        <v>173</v>
      </c>
    </row>
    <row r="35" spans="1:4" x14ac:dyDescent="0.25">
      <c r="A35" s="21" t="s">
        <v>174</v>
      </c>
      <c r="B35" s="21" t="s">
        <v>171</v>
      </c>
      <c r="C35" s="21" t="s">
        <v>172</v>
      </c>
      <c r="D35" s="21" t="s">
        <v>175</v>
      </c>
    </row>
    <row r="36" spans="1:4" x14ac:dyDescent="0.25">
      <c r="A36" s="21" t="s">
        <v>176</v>
      </c>
      <c r="B36" s="21" t="s">
        <v>168</v>
      </c>
      <c r="C36" s="21" t="s">
        <v>177</v>
      </c>
      <c r="D36" s="21" t="s">
        <v>178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28" customWidth="1"/>
    <col min="2" max="6" width="16" customWidth="1"/>
  </cols>
  <sheetData>
    <row r="1" ht="28" customHeight="1" spans="1:6" x14ac:dyDescent="0.25">
      <c r="A1" s="13" t="s">
        <v>179</v>
      </c>
      <c r="B1" s="13"/>
      <c r="C1" s="13"/>
      <c r="D1" s="13"/>
      <c r="E1" s="13"/>
      <c r="F1" s="13"/>
    </row>
    <row r="2" spans="1:6" x14ac:dyDescent="0.25">
      <c r="A2" s="11" t="s">
        <v>180</v>
      </c>
      <c r="B2" s="11"/>
      <c r="C2" s="11"/>
      <c r="D2" s="11"/>
      <c r="E2" s="11"/>
      <c r="F2" s="11"/>
    </row>
    <row r="4" spans="1:6" x14ac:dyDescent="0.25">
      <c r="A4" s="17" t="s">
        <v>181</v>
      </c>
      <c r="B4" s="17"/>
      <c r="C4" s="17"/>
      <c r="D4" s="17"/>
      <c r="E4" s="17"/>
      <c r="F4" s="17"/>
    </row>
    <row r="5" spans="1:2" x14ac:dyDescent="0.25">
      <c r="A5" s="14" t="s">
        <v>182</v>
      </c>
      <c r="B5" s="19">
        <v>55</v>
      </c>
    </row>
    <row r="6" spans="1:2" x14ac:dyDescent="0.25">
      <c r="A6" s="14" t="s">
        <v>183</v>
      </c>
      <c r="B6" s="20">
        <v>0.1</v>
      </c>
    </row>
    <row r="7" spans="1:2" x14ac:dyDescent="0.25">
      <c r="A7" s="14" t="s">
        <v>184</v>
      </c>
      <c r="B7" s="20">
        <v>0.2</v>
      </c>
    </row>
    <row r="8" spans="1:2" x14ac:dyDescent="0.25">
      <c r="A8" s="14" t="s">
        <v>185</v>
      </c>
      <c r="B8" s="19">
        <v>150</v>
      </c>
    </row>
    <row r="10" spans="1:6" x14ac:dyDescent="0.25">
      <c r="A10" s="17" t="s">
        <v>186</v>
      </c>
      <c r="B10" s="17"/>
      <c r="C10" s="17"/>
      <c r="D10" s="17"/>
      <c r="E10" s="17"/>
      <c r="F10" s="17"/>
    </row>
    <row r="11" spans="1:6" x14ac:dyDescent="0.25">
      <c r="A11" s="37" t="s">
        <v>132</v>
      </c>
      <c r="B11" s="37" t="s">
        <v>187</v>
      </c>
      <c r="C11" s="37" t="s">
        <v>188</v>
      </c>
      <c r="D11" s="37" t="s">
        <v>189</v>
      </c>
      <c r="E11" s="37" t="s">
        <v>190</v>
      </c>
      <c r="F11" s="37" t="s">
        <v>191</v>
      </c>
    </row>
    <row r="12" spans="1:6" x14ac:dyDescent="0.25">
      <c r="A12" s="21" t="s">
        <v>136</v>
      </c>
      <c r="B12" s="24">
        <v>2.5</v>
      </c>
      <c r="C12" s="38">
        <v>0.08</v>
      </c>
      <c r="D12" s="24">
        <f>C12*B$5</f>
      </c>
      <c r="E12" s="39">
        <f>(B12+D12)*(1+B$6)*(1+B$7)</f>
      </c>
      <c r="F12" s="24">
        <v>800</v>
      </c>
    </row>
    <row r="13" spans="1:6" x14ac:dyDescent="0.25">
      <c r="A13" s="21" t="s">
        <v>192</v>
      </c>
      <c r="B13" s="24">
        <v>3</v>
      </c>
      <c r="C13" s="38">
        <v>0.1</v>
      </c>
      <c r="D13" s="24">
        <f>C13*B$5</f>
      </c>
      <c r="E13" s="39">
        <f>(B13+D13)*(1+B$6)*(1+B$7)</f>
      </c>
      <c r="F13" s="24">
        <v>1200</v>
      </c>
    </row>
    <row r="14" spans="1:6" x14ac:dyDescent="0.25">
      <c r="A14" s="21" t="s">
        <v>193</v>
      </c>
      <c r="B14" s="24">
        <v>3</v>
      </c>
      <c r="C14" s="38">
        <v>0.12</v>
      </c>
      <c r="D14" s="24">
        <f>C14*B$5</f>
      </c>
      <c r="E14" s="39">
        <f>(B14+D14)*(1+B$6)*(1+B$7)</f>
      </c>
      <c r="F14" s="24">
        <v>1000</v>
      </c>
    </row>
    <row r="15" spans="1:6" x14ac:dyDescent="0.25">
      <c r="A15" s="21" t="s">
        <v>194</v>
      </c>
      <c r="B15" s="24">
        <v>4.5</v>
      </c>
      <c r="C15" s="38">
        <v>0.18</v>
      </c>
      <c r="D15" s="24">
        <f>C15*B$5</f>
      </c>
      <c r="E15" s="39">
        <f>(B15+D15)*(1+B$6)*(1+B$7)</f>
      </c>
      <c r="F15" s="24">
        <v>1500</v>
      </c>
    </row>
    <row r="16" spans="1:6" x14ac:dyDescent="0.25">
      <c r="A16" s="21" t="s">
        <v>145</v>
      </c>
      <c r="B16" s="24">
        <v>5</v>
      </c>
      <c r="C16" s="38">
        <v>0.22</v>
      </c>
      <c r="D16" s="24">
        <f>C16*B$5</f>
      </c>
      <c r="E16" s="39">
        <f>(B16+D16)*(1+B$6)*(1+B$7)</f>
      </c>
      <c r="F16" s="24">
        <v>2000</v>
      </c>
    </row>
    <row r="17" spans="1:6" x14ac:dyDescent="0.25">
      <c r="A17" s="21" t="s">
        <v>151</v>
      </c>
      <c r="B17" s="24">
        <v>2.5</v>
      </c>
      <c r="C17" s="38">
        <v>0.08</v>
      </c>
      <c r="D17" s="24">
        <f>C17*B$5</f>
      </c>
      <c r="E17" s="39">
        <f>(B17+D17)*(1+B$6)*(1+B$7)</f>
      </c>
      <c r="F17" s="24">
        <v>600</v>
      </c>
    </row>
    <row r="18" spans="1:6" x14ac:dyDescent="0.25">
      <c r="A18" s="21" t="s">
        <v>195</v>
      </c>
      <c r="B18" s="24">
        <v>4</v>
      </c>
      <c r="C18" s="38">
        <v>0.15</v>
      </c>
      <c r="D18" s="24">
        <f>C18*B$5</f>
      </c>
      <c r="E18" s="39">
        <f>(B18+D18)*(1+B$6)*(1+B$7)</f>
      </c>
      <c r="F18" s="24">
        <v>2500</v>
      </c>
    </row>
    <row r="19" spans="1:6" x14ac:dyDescent="0.25">
      <c r="A19" s="21" t="s">
        <v>196</v>
      </c>
      <c r="B19" s="24">
        <v>5.5</v>
      </c>
      <c r="C19" s="38">
        <v>0.2</v>
      </c>
      <c r="D19" s="24">
        <f>C19*B$5</f>
      </c>
      <c r="E19" s="39">
        <f>(B19+D19)*(1+B$6)*(1+B$7)</f>
      </c>
      <c r="F19" s="24">
        <v>3500</v>
      </c>
    </row>
    <row r="20" spans="1:6" x14ac:dyDescent="0.25">
      <c r="A20" s="21" t="s">
        <v>197</v>
      </c>
      <c r="B20" s="24">
        <v>2.5</v>
      </c>
      <c r="C20" s="38">
        <v>0.09</v>
      </c>
      <c r="D20" s="24">
        <f>C20*B$5</f>
      </c>
      <c r="E20" s="39">
        <f>(B20+D20)*(1+B$6)*(1+B$7)</f>
      </c>
      <c r="F20" s="24">
        <v>1000</v>
      </c>
    </row>
    <row r="21" spans="1:6" x14ac:dyDescent="0.25">
      <c r="A21" s="21" t="s">
        <v>198</v>
      </c>
      <c r="B21" s="24">
        <v>4</v>
      </c>
      <c r="C21" s="38">
        <v>0.16</v>
      </c>
      <c r="D21" s="24">
        <f>C21*B$5</f>
      </c>
      <c r="E21" s="39">
        <f>(B21+D21)*(1+B$6)*(1+B$7)</f>
      </c>
      <c r="F21" s="24">
        <v>1500</v>
      </c>
    </row>
    <row r="22" spans="1:6" x14ac:dyDescent="0.25">
      <c r="A22" s="21" t="s">
        <v>199</v>
      </c>
      <c r="B22" s="24">
        <v>8</v>
      </c>
      <c r="C22" s="38">
        <v>0.3</v>
      </c>
      <c r="D22" s="24">
        <f>C22*B$5</f>
      </c>
      <c r="E22" s="39">
        <f>(B22+D22)*(1+B$6)*(1+B$7)</f>
      </c>
      <c r="F22" s="24">
        <v>2000</v>
      </c>
    </row>
    <row r="23" spans="1:6" x14ac:dyDescent="0.25">
      <c r="A23" s="21" t="s">
        <v>200</v>
      </c>
      <c r="B23" s="24">
        <v>6</v>
      </c>
      <c r="C23" s="38">
        <v>0.25</v>
      </c>
      <c r="D23" s="24">
        <f>C23*B$5</f>
      </c>
      <c r="E23" s="39">
        <f>(B23+D23)*(1+B$6)*(1+B$7)</f>
      </c>
      <c r="F23" s="24">
        <v>800</v>
      </c>
    </row>
    <row r="26" spans="1:6" x14ac:dyDescent="0.25">
      <c r="A26" s="17" t="s">
        <v>201</v>
      </c>
      <c r="B26" s="17"/>
      <c r="C26" s="17"/>
      <c r="D26" s="17"/>
      <c r="E26" s="17"/>
      <c r="F26" s="17"/>
    </row>
    <row r="27" spans="1:3" x14ac:dyDescent="0.25">
      <c r="A27" s="37" t="s">
        <v>202</v>
      </c>
      <c r="B27" s="37" t="s">
        <v>203</v>
      </c>
      <c r="C27" s="37" t="s">
        <v>204</v>
      </c>
    </row>
    <row r="28" spans="1:3" x14ac:dyDescent="0.25">
      <c r="A28" s="21" t="s">
        <v>205</v>
      </c>
      <c r="B28" s="40">
        <v>1</v>
      </c>
      <c r="C28" s="21" t="s">
        <v>206</v>
      </c>
    </row>
    <row r="29" spans="1:3" x14ac:dyDescent="0.25">
      <c r="A29" s="21" t="s">
        <v>207</v>
      </c>
      <c r="B29" s="40">
        <v>1.05</v>
      </c>
      <c r="C29" s="21" t="s">
        <v>208</v>
      </c>
    </row>
    <row r="30" spans="1:3" x14ac:dyDescent="0.25">
      <c r="A30" s="21" t="s">
        <v>209</v>
      </c>
      <c r="B30" s="40">
        <v>0.95</v>
      </c>
      <c r="C30" s="21" t="s">
        <v>210</v>
      </c>
    </row>
    <row r="31" spans="1:3" x14ac:dyDescent="0.25">
      <c r="A31" s="21" t="s">
        <v>211</v>
      </c>
      <c r="B31" s="40">
        <v>1.15</v>
      </c>
      <c r="C31" s="21" t="s">
        <v>212</v>
      </c>
    </row>
  </sheetData>
  <mergeCells count="5">
    <mergeCell ref="A1:F1"/>
    <mergeCell ref="A2:F2"/>
    <mergeCell ref="A4:F4"/>
    <mergeCell ref="A10:F10"/>
    <mergeCell ref="A26:F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6"/>
  <sheetFormatPr defaultRowHeight="15" outlineLevelRow="0" outlineLevelCol="0" x14ac:dyDescent="55"/>
  <cols>
    <col min="1" max="1" width="6" customWidth="1"/>
    <col min="2" max="2" width="24" customWidth="1"/>
    <col min="3" max="8" width="14" customWidth="1"/>
    <col min="9" max="9" width="20" customWidth="1"/>
  </cols>
  <sheetData>
    <row r="1" ht="28" customHeight="1" spans="1:9" x14ac:dyDescent="0.25">
      <c r="A1" s="13" t="s">
        <v>213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1" t="s">
        <v>214</v>
      </c>
      <c r="B2" s="11"/>
      <c r="C2" s="11"/>
      <c r="D2" s="11"/>
      <c r="E2" s="11"/>
      <c r="F2" s="11"/>
      <c r="G2" s="11"/>
      <c r="H2" s="11"/>
      <c r="I2" s="11"/>
    </row>
    <row r="4" ht="22" customHeight="1" spans="1:9" x14ac:dyDescent="0.25">
      <c r="A4" s="35" t="s">
        <v>215</v>
      </c>
      <c r="B4" s="36" t="s">
        <v>216</v>
      </c>
      <c r="C4" s="36" t="s">
        <v>217</v>
      </c>
      <c r="D4" s="36" t="s">
        <v>218</v>
      </c>
      <c r="E4" s="36" t="s">
        <v>219</v>
      </c>
      <c r="F4" s="36" t="s">
        <v>220</v>
      </c>
      <c r="G4" s="36" t="s">
        <v>221</v>
      </c>
      <c r="H4" s="36" t="s">
        <v>222</v>
      </c>
      <c r="I4" s="36" t="s">
        <v>114</v>
      </c>
    </row>
    <row r="5" spans="1:9" x14ac:dyDescent="0.25">
      <c r="A5" s="41">
        <v>1</v>
      </c>
      <c r="B5" s="18"/>
      <c r="C5" s="19"/>
      <c r="D5" s="19"/>
      <c r="E5" s="19"/>
      <c r="F5" s="19"/>
      <c r="G5" s="24">
        <f>IF(C5="","",C5-D5-E5-F5)</f>
      </c>
      <c r="H5" s="42">
        <f>IF(C5="","",G5/C5)</f>
      </c>
      <c r="I5" s="18"/>
    </row>
    <row r="6" spans="1:9" x14ac:dyDescent="0.25">
      <c r="A6" s="41">
        <v>2</v>
      </c>
      <c r="B6" s="18"/>
      <c r="C6" s="19"/>
      <c r="D6" s="19"/>
      <c r="E6" s="19"/>
      <c r="F6" s="19"/>
      <c r="G6" s="24">
        <f>IF(C6="","",C6-D6-E6-F6)</f>
      </c>
      <c r="H6" s="42">
        <f>IF(C6="","",G6/C6)</f>
      </c>
      <c r="I6" s="18"/>
    </row>
    <row r="7" spans="1:9" x14ac:dyDescent="0.25">
      <c r="A7" s="41">
        <v>3</v>
      </c>
      <c r="B7" s="18"/>
      <c r="C7" s="19"/>
      <c r="D7" s="19"/>
      <c r="E7" s="19"/>
      <c r="F7" s="19"/>
      <c r="G7" s="24">
        <f>IF(C7="","",C7-D7-E7-F7)</f>
      </c>
      <c r="H7" s="42">
        <f>IF(C7="","",G7/C7)</f>
      </c>
      <c r="I7" s="18"/>
    </row>
    <row r="8" spans="1:9" x14ac:dyDescent="0.25">
      <c r="A8" s="41">
        <v>4</v>
      </c>
      <c r="B8" s="18"/>
      <c r="C8" s="19"/>
      <c r="D8" s="19"/>
      <c r="E8" s="19"/>
      <c r="F8" s="19"/>
      <c r="G8" s="24">
        <f>IF(C8="","",C8-D8-E8-F8)</f>
      </c>
      <c r="H8" s="42">
        <f>IF(C8="","",G8/C8)</f>
      </c>
      <c r="I8" s="18"/>
    </row>
    <row r="9" spans="1:9" x14ac:dyDescent="0.25">
      <c r="A9" s="41">
        <v>5</v>
      </c>
      <c r="B9" s="18"/>
      <c r="C9" s="19"/>
      <c r="D9" s="19"/>
      <c r="E9" s="19"/>
      <c r="F9" s="19"/>
      <c r="G9" s="24">
        <f>IF(C9="","",C9-D9-E9-F9)</f>
      </c>
      <c r="H9" s="42">
        <f>IF(C9="","",G9/C9)</f>
      </c>
      <c r="I9" s="18"/>
    </row>
    <row r="10" spans="1:9" x14ac:dyDescent="0.25">
      <c r="A10" s="41">
        <v>6</v>
      </c>
      <c r="B10" s="18"/>
      <c r="C10" s="19"/>
      <c r="D10" s="19"/>
      <c r="E10" s="19"/>
      <c r="F10" s="19"/>
      <c r="G10" s="24">
        <f>IF(C10="","",C10-D10-E10-F10)</f>
      </c>
      <c r="H10" s="42">
        <f>IF(C10="","",G10/C10)</f>
      </c>
      <c r="I10" s="18"/>
    </row>
    <row r="11" spans="1:9" x14ac:dyDescent="0.25">
      <c r="A11" s="41">
        <v>7</v>
      </c>
      <c r="B11" s="18"/>
      <c r="C11" s="19"/>
      <c r="D11" s="19"/>
      <c r="E11" s="19"/>
      <c r="F11" s="19"/>
      <c r="G11" s="24">
        <f>IF(C11="","",C11-D11-E11-F11)</f>
      </c>
      <c r="H11" s="42">
        <f>IF(C11="","",G11/C11)</f>
      </c>
      <c r="I11" s="18"/>
    </row>
    <row r="12" spans="1:9" x14ac:dyDescent="0.25">
      <c r="A12" s="41">
        <v>8</v>
      </c>
      <c r="B12" s="18"/>
      <c r="C12" s="19"/>
      <c r="D12" s="19"/>
      <c r="E12" s="19"/>
      <c r="F12" s="19"/>
      <c r="G12" s="24">
        <f>IF(C12="","",C12-D12-E12-F12)</f>
      </c>
      <c r="H12" s="42">
        <f>IF(C12="","",G12/C12)</f>
      </c>
      <c r="I12" s="18"/>
    </row>
    <row r="13" spans="1:9" x14ac:dyDescent="0.25">
      <c r="A13" s="41">
        <v>9</v>
      </c>
      <c r="B13" s="18"/>
      <c r="C13" s="19"/>
      <c r="D13" s="19"/>
      <c r="E13" s="19"/>
      <c r="F13" s="19"/>
      <c r="G13" s="24">
        <f>IF(C13="","",C13-D13-E13-F13)</f>
      </c>
      <c r="H13" s="42">
        <f>IF(C13="","",G13/C13)</f>
      </c>
      <c r="I13" s="18"/>
    </row>
    <row r="14" spans="1:9" x14ac:dyDescent="0.25">
      <c r="A14" s="41">
        <v>10</v>
      </c>
      <c r="B14" s="18"/>
      <c r="C14" s="19"/>
      <c r="D14" s="19"/>
      <c r="E14" s="19"/>
      <c r="F14" s="19"/>
      <c r="G14" s="24">
        <f>IF(C14="","",C14-D14-E14-F14)</f>
      </c>
      <c r="H14" s="42">
        <f>IF(C14="","",G14/C14)</f>
      </c>
      <c r="I14" s="18"/>
    </row>
    <row r="15" spans="1:9" x14ac:dyDescent="0.25">
      <c r="A15" s="41">
        <v>11</v>
      </c>
      <c r="B15" s="18"/>
      <c r="C15" s="19"/>
      <c r="D15" s="19"/>
      <c r="E15" s="19"/>
      <c r="F15" s="19"/>
      <c r="G15" s="24">
        <f>IF(C15="","",C15-D15-E15-F15)</f>
      </c>
      <c r="H15" s="42">
        <f>IF(C15="","",G15/C15)</f>
      </c>
      <c r="I15" s="18"/>
    </row>
    <row r="16" spans="1:9" x14ac:dyDescent="0.25">
      <c r="A16" s="41">
        <v>12</v>
      </c>
      <c r="B16" s="18"/>
      <c r="C16" s="19"/>
      <c r="D16" s="19"/>
      <c r="E16" s="19"/>
      <c r="F16" s="19"/>
      <c r="G16" s="24">
        <f>IF(C16="","",C16-D16-E16-F16)</f>
      </c>
      <c r="H16" s="42">
        <f>IF(C16="","",G16/C16)</f>
      </c>
      <c r="I16" s="18"/>
    </row>
    <row r="17" spans="1:9" x14ac:dyDescent="0.25">
      <c r="A17" s="41">
        <v>13</v>
      </c>
      <c r="B17" s="18"/>
      <c r="C17" s="19"/>
      <c r="D17" s="19"/>
      <c r="E17" s="19"/>
      <c r="F17" s="19"/>
      <c r="G17" s="24">
        <f>IF(C17="","",C17-D17-E17-F17)</f>
      </c>
      <c r="H17" s="42">
        <f>IF(C17="","",G17/C17)</f>
      </c>
      <c r="I17" s="18"/>
    </row>
    <row r="18" spans="1:9" x14ac:dyDescent="0.25">
      <c r="A18" s="41">
        <v>14</v>
      </c>
      <c r="B18" s="18"/>
      <c r="C18" s="19"/>
      <c r="D18" s="19"/>
      <c r="E18" s="19"/>
      <c r="F18" s="19"/>
      <c r="G18" s="24">
        <f>IF(C18="","",C18-D18-E18-F18)</f>
      </c>
      <c r="H18" s="42">
        <f>IF(C18="","",G18/C18)</f>
      </c>
      <c r="I18" s="18"/>
    </row>
    <row r="19" spans="1:9" x14ac:dyDescent="0.25">
      <c r="A19" s="41">
        <v>15</v>
      </c>
      <c r="B19" s="18"/>
      <c r="C19" s="19"/>
      <c r="D19" s="19"/>
      <c r="E19" s="19"/>
      <c r="F19" s="19"/>
      <c r="G19" s="24">
        <f>IF(C19="","",C19-D19-E19-F19)</f>
      </c>
      <c r="H19" s="42">
        <f>IF(C19="","",G19/C19)</f>
      </c>
      <c r="I19" s="18"/>
    </row>
    <row r="20" spans="1:9" x14ac:dyDescent="0.25">
      <c r="A20" s="41">
        <v>16</v>
      </c>
      <c r="B20" s="18"/>
      <c r="C20" s="19"/>
      <c r="D20" s="19"/>
      <c r="E20" s="19"/>
      <c r="F20" s="19"/>
      <c r="G20" s="24">
        <f>IF(C20="","",C20-D20-E20-F20)</f>
      </c>
      <c r="H20" s="42">
        <f>IF(C20="","",G20/C20)</f>
      </c>
      <c r="I20" s="18"/>
    </row>
    <row r="21" spans="1:9" x14ac:dyDescent="0.25">
      <c r="A21" s="41">
        <v>17</v>
      </c>
      <c r="B21" s="18"/>
      <c r="C21" s="19"/>
      <c r="D21" s="19"/>
      <c r="E21" s="19"/>
      <c r="F21" s="19"/>
      <c r="G21" s="24">
        <f>IF(C21="","",C21-D21-E21-F21)</f>
      </c>
      <c r="H21" s="42">
        <f>IF(C21="","",G21/C21)</f>
      </c>
      <c r="I21" s="18"/>
    </row>
    <row r="22" spans="1:9" x14ac:dyDescent="0.25">
      <c r="A22" s="41">
        <v>18</v>
      </c>
      <c r="B22" s="18"/>
      <c r="C22" s="19"/>
      <c r="D22" s="19"/>
      <c r="E22" s="19"/>
      <c r="F22" s="19"/>
      <c r="G22" s="24">
        <f>IF(C22="","",C22-D22-E22-F22)</f>
      </c>
      <c r="H22" s="42">
        <f>IF(C22="","",G22/C22)</f>
      </c>
      <c r="I22" s="18"/>
    </row>
    <row r="23" spans="1:9" x14ac:dyDescent="0.25">
      <c r="A23" s="41">
        <v>19</v>
      </c>
      <c r="B23" s="18"/>
      <c r="C23" s="19"/>
      <c r="D23" s="19"/>
      <c r="E23" s="19"/>
      <c r="F23" s="19"/>
      <c r="G23" s="24">
        <f>IF(C23="","",C23-D23-E23-F23)</f>
      </c>
      <c r="H23" s="42">
        <f>IF(C23="","",G23/C23)</f>
      </c>
      <c r="I23" s="18"/>
    </row>
    <row r="24" spans="1:9" x14ac:dyDescent="0.25">
      <c r="A24" s="41">
        <v>20</v>
      </c>
      <c r="B24" s="18"/>
      <c r="C24" s="19"/>
      <c r="D24" s="19"/>
      <c r="E24" s="19"/>
      <c r="F24" s="19"/>
      <c r="G24" s="24">
        <f>IF(C24="","",C24-D24-E24-F24)</f>
      </c>
      <c r="H24" s="42">
        <f>IF(C24="","",G24/C24)</f>
      </c>
      <c r="I24" s="18"/>
    </row>
    <row r="25" spans="1:9" x14ac:dyDescent="0.25">
      <c r="A25" s="41">
        <v>21</v>
      </c>
      <c r="B25" s="18"/>
      <c r="C25" s="19"/>
      <c r="D25" s="19"/>
      <c r="E25" s="19"/>
      <c r="F25" s="19"/>
      <c r="G25" s="24">
        <f>IF(C25="","",C25-D25-E25-F25)</f>
      </c>
      <c r="H25" s="42">
        <f>IF(C25="","",G25/C25)</f>
      </c>
      <c r="I25" s="18"/>
    </row>
    <row r="26" spans="1:9" x14ac:dyDescent="0.25">
      <c r="A26" s="41">
        <v>22</v>
      </c>
      <c r="B26" s="18"/>
      <c r="C26" s="19"/>
      <c r="D26" s="19"/>
      <c r="E26" s="19"/>
      <c r="F26" s="19"/>
      <c r="G26" s="24">
        <f>IF(C26="","",C26-D26-E26-F26)</f>
      </c>
      <c r="H26" s="42">
        <f>IF(C26="","",G26/C26)</f>
      </c>
      <c r="I26" s="18"/>
    </row>
    <row r="27" spans="1:9" x14ac:dyDescent="0.25">
      <c r="A27" s="41">
        <v>23</v>
      </c>
      <c r="B27" s="18"/>
      <c r="C27" s="19"/>
      <c r="D27" s="19"/>
      <c r="E27" s="19"/>
      <c r="F27" s="19"/>
      <c r="G27" s="24">
        <f>IF(C27="","",C27-D27-E27-F27)</f>
      </c>
      <c r="H27" s="42">
        <f>IF(C27="","",G27/C27)</f>
      </c>
      <c r="I27" s="18"/>
    </row>
    <row r="28" spans="1:9" x14ac:dyDescent="0.25">
      <c r="A28" s="41">
        <v>24</v>
      </c>
      <c r="B28" s="18"/>
      <c r="C28" s="19"/>
      <c r="D28" s="19"/>
      <c r="E28" s="19"/>
      <c r="F28" s="19"/>
      <c r="G28" s="24">
        <f>IF(C28="","",C28-D28-E28-F28)</f>
      </c>
      <c r="H28" s="42">
        <f>IF(C28="","",G28/C28)</f>
      </c>
      <c r="I28" s="18"/>
    </row>
    <row r="29" spans="1:9" x14ac:dyDescent="0.25">
      <c r="A29" s="41">
        <v>25</v>
      </c>
      <c r="B29" s="18"/>
      <c r="C29" s="19"/>
      <c r="D29" s="19"/>
      <c r="E29" s="19"/>
      <c r="F29" s="19"/>
      <c r="G29" s="24">
        <f>IF(C29="","",C29-D29-E29-F29)</f>
      </c>
      <c r="H29" s="42">
        <f>IF(C29="","",G29/C29)</f>
      </c>
      <c r="I29" s="18"/>
    </row>
    <row r="31" spans="1:9" x14ac:dyDescent="0.25">
      <c r="A31" s="37" t="s">
        <v>76</v>
      </c>
      <c r="B31" s="37" t="s">
        <v>223</v>
      </c>
      <c r="C31" s="43">
        <f>SUM(C5:C29)</f>
      </c>
      <c r="D31" s="43">
        <f>SUM(D5:D29)</f>
      </c>
      <c r="E31" s="43">
        <f>SUM(E5:E29)</f>
      </c>
      <c r="F31" s="43">
        <f>SUM(F5:F29)</f>
      </c>
      <c r="G31" s="43">
        <f>SUM(G5:G29)</f>
      </c>
      <c r="H31" s="44">
        <f>IF(C31&gt;0,G31/C31,0)</f>
      </c>
      <c r="I31" s="37"/>
    </row>
    <row r="33" spans="2:3" x14ac:dyDescent="0.25">
      <c r="B33" s="45" t="s">
        <v>224</v>
      </c>
      <c r="C33" s="46">
        <f>AVERAGEIF(C5:C29,"&gt;0")</f>
      </c>
    </row>
    <row r="34" spans="2:3" x14ac:dyDescent="0.25">
      <c r="B34" s="45" t="s">
        <v>225</v>
      </c>
      <c r="C34" s="46">
        <f>AVERAGEIF(G5:G29,"&gt;0")</f>
      </c>
    </row>
    <row r="35" spans="2:3" x14ac:dyDescent="0.25">
      <c r="B35" s="45" t="s">
        <v>226</v>
      </c>
      <c r="C35" s="47">
        <f>AVERAGEIF(H5:H29,"&gt;0")</f>
      </c>
    </row>
    <row r="36" spans="2:3" x14ac:dyDescent="0.25">
      <c r="B36" s="45" t="s">
        <v>227</v>
      </c>
      <c r="C36">
        <f>COUNTA(B5:B29)</f>
      </c>
    </row>
  </sheetData>
  <mergeCells count="2">
    <mergeCell ref="A1:I1"/>
    <mergeCell ref="A2:I2"/>
  </mergeCells>
  <pageSetup paperSize="1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"/>
  <sheetFormatPr defaultRowHeight="15" outlineLevelRow="0" outlineLevelCol="0" x14ac:dyDescent="55"/>
  <cols>
    <col min="1" max="1" width="28" customWidth="1"/>
    <col min="2" max="4" width="16" customWidth="1"/>
    <col min="5" max="5" width="24" customWidth="1"/>
  </cols>
  <sheetData>
    <row r="1" ht="28" customHeight="1" spans="1:5" x14ac:dyDescent="0.25">
      <c r="A1" s="13" t="s">
        <v>228</v>
      </c>
      <c r="B1" s="13"/>
      <c r="C1" s="13"/>
      <c r="D1" s="13"/>
      <c r="E1" s="13"/>
    </row>
    <row r="2" spans="1:5" x14ac:dyDescent="0.25">
      <c r="A2" s="11" t="s">
        <v>229</v>
      </c>
      <c r="B2" s="11"/>
      <c r="C2" s="11"/>
      <c r="D2" s="11"/>
      <c r="E2" s="11"/>
    </row>
    <row r="4" spans="1:5" x14ac:dyDescent="0.25">
      <c r="A4" s="48" t="s">
        <v>230</v>
      </c>
      <c r="B4" s="48"/>
      <c r="C4" s="48"/>
      <c r="D4" s="48"/>
      <c r="E4" s="48"/>
    </row>
    <row r="5" spans="1:5" x14ac:dyDescent="0.25">
      <c r="A5" s="37" t="s">
        <v>231</v>
      </c>
      <c r="B5" s="37" t="s">
        <v>232</v>
      </c>
      <c r="C5" s="37" t="s">
        <v>233</v>
      </c>
      <c r="D5" s="37" t="s">
        <v>234</v>
      </c>
      <c r="E5" s="37" t="s">
        <v>235</v>
      </c>
    </row>
    <row r="6" spans="1:5" x14ac:dyDescent="0.25">
      <c r="A6" s="49" t="s">
        <v>236</v>
      </c>
      <c r="B6" s="21" t="s">
        <v>237</v>
      </c>
      <c r="C6" s="21" t="s">
        <v>238</v>
      </c>
      <c r="D6" s="21" t="s">
        <v>239</v>
      </c>
      <c r="E6" s="50" t="s">
        <v>240</v>
      </c>
    </row>
    <row r="7" spans="1:5" x14ac:dyDescent="0.25">
      <c r="A7" s="49" t="s">
        <v>241</v>
      </c>
      <c r="B7" s="21" t="s">
        <v>237</v>
      </c>
      <c r="C7" s="21" t="s">
        <v>242</v>
      </c>
      <c r="D7" s="21" t="s">
        <v>239</v>
      </c>
      <c r="E7" s="50" t="s">
        <v>243</v>
      </c>
    </row>
    <row r="8" spans="1:5" x14ac:dyDescent="0.25">
      <c r="A8" s="49" t="s">
        <v>244</v>
      </c>
      <c r="B8" s="21" t="s">
        <v>237</v>
      </c>
      <c r="C8" s="21" t="s">
        <v>239</v>
      </c>
      <c r="D8" s="21" t="s">
        <v>245</v>
      </c>
      <c r="E8" s="50" t="s">
        <v>246</v>
      </c>
    </row>
    <row r="9" spans="1:5" x14ac:dyDescent="0.25">
      <c r="A9" s="49" t="s">
        <v>247</v>
      </c>
      <c r="B9" s="21" t="s">
        <v>237</v>
      </c>
      <c r="C9" s="21" t="s">
        <v>237</v>
      </c>
      <c r="D9" s="21" t="s">
        <v>238</v>
      </c>
      <c r="E9" s="50" t="s">
        <v>248</v>
      </c>
    </row>
    <row r="10" spans="1:5" x14ac:dyDescent="0.25">
      <c r="A10" s="49" t="s">
        <v>249</v>
      </c>
      <c r="B10" s="21" t="s">
        <v>250</v>
      </c>
      <c r="C10" s="21" t="s">
        <v>251</v>
      </c>
      <c r="D10" s="21" t="s">
        <v>251</v>
      </c>
      <c r="E10" s="50" t="s">
        <v>252</v>
      </c>
    </row>
    <row r="11" spans="1:5" x14ac:dyDescent="0.25">
      <c r="A11" s="49" t="s">
        <v>253</v>
      </c>
      <c r="B11" s="21" t="s">
        <v>254</v>
      </c>
      <c r="C11" s="21" t="s">
        <v>255</v>
      </c>
      <c r="D11" s="21" t="s">
        <v>251</v>
      </c>
      <c r="E11" s="50" t="s">
        <v>256</v>
      </c>
    </row>
    <row r="13" spans="1:5" x14ac:dyDescent="0.25">
      <c r="A13" s="48" t="s">
        <v>257</v>
      </c>
      <c r="B13" s="48"/>
      <c r="C13" s="48"/>
      <c r="D13" s="48"/>
      <c r="E13" s="48"/>
    </row>
    <row r="14" spans="1:5" x14ac:dyDescent="0.25">
      <c r="A14" s="37" t="s">
        <v>258</v>
      </c>
      <c r="B14" s="37" t="s">
        <v>259</v>
      </c>
      <c r="C14" s="37" t="s">
        <v>260</v>
      </c>
      <c r="D14" s="37" t="s">
        <v>261</v>
      </c>
      <c r="E14" s="37" t="s">
        <v>262</v>
      </c>
    </row>
    <row r="15" spans="1:5" x14ac:dyDescent="0.25">
      <c r="A15" s="21" t="s">
        <v>263</v>
      </c>
      <c r="B15" s="21" t="s">
        <v>264</v>
      </c>
      <c r="C15" s="21" t="s">
        <v>265</v>
      </c>
      <c r="D15" s="21" t="s">
        <v>266</v>
      </c>
      <c r="E15" s="50" t="s">
        <v>267</v>
      </c>
    </row>
    <row r="16" spans="1:5" x14ac:dyDescent="0.25">
      <c r="A16" s="21" t="s">
        <v>268</v>
      </c>
      <c r="B16" s="21" t="s">
        <v>269</v>
      </c>
      <c r="C16" s="21" t="s">
        <v>270</v>
      </c>
      <c r="D16" s="21" t="s">
        <v>271</v>
      </c>
      <c r="E16" s="50" t="s">
        <v>272</v>
      </c>
    </row>
    <row r="17" spans="1:5" x14ac:dyDescent="0.25">
      <c r="A17" s="21" t="s">
        <v>273</v>
      </c>
      <c r="B17" s="21" t="s">
        <v>269</v>
      </c>
      <c r="C17" s="21" t="s">
        <v>270</v>
      </c>
      <c r="D17" s="21" t="s">
        <v>271</v>
      </c>
      <c r="E17" s="50" t="s">
        <v>274</v>
      </c>
    </row>
    <row r="18" spans="1:5" x14ac:dyDescent="0.25">
      <c r="A18" s="21" t="s">
        <v>275</v>
      </c>
      <c r="B18" s="21" t="s">
        <v>276</v>
      </c>
      <c r="C18" s="21" t="s">
        <v>270</v>
      </c>
      <c r="D18" s="21" t="s">
        <v>271</v>
      </c>
      <c r="E18" s="50" t="s">
        <v>277</v>
      </c>
    </row>
    <row r="19" spans="1:5" x14ac:dyDescent="0.25">
      <c r="A19" s="21" t="s">
        <v>278</v>
      </c>
      <c r="B19" s="21" t="s">
        <v>269</v>
      </c>
      <c r="C19" s="21" t="s">
        <v>279</v>
      </c>
      <c r="D19" s="21" t="s">
        <v>280</v>
      </c>
      <c r="E19" s="50" t="s">
        <v>281</v>
      </c>
    </row>
    <row r="20" spans="1:5" x14ac:dyDescent="0.25">
      <c r="A20" s="21" t="s">
        <v>282</v>
      </c>
      <c r="B20" s="21" t="s">
        <v>283</v>
      </c>
      <c r="C20" s="21" t="s">
        <v>284</v>
      </c>
      <c r="D20" s="21" t="s">
        <v>280</v>
      </c>
      <c r="E20" s="50" t="s">
        <v>285</v>
      </c>
    </row>
    <row r="21" spans="1:5" x14ac:dyDescent="0.25">
      <c r="A21" s="21" t="s">
        <v>286</v>
      </c>
      <c r="B21" s="21" t="s">
        <v>287</v>
      </c>
      <c r="C21" s="21" t="s">
        <v>288</v>
      </c>
      <c r="D21" s="21" t="s">
        <v>289</v>
      </c>
      <c r="E21" s="50" t="s">
        <v>290</v>
      </c>
    </row>
    <row r="22" spans="1:5" x14ac:dyDescent="0.25">
      <c r="A22" s="21" t="s">
        <v>291</v>
      </c>
      <c r="B22" s="21" t="s">
        <v>292</v>
      </c>
      <c r="C22" s="21" t="s">
        <v>293</v>
      </c>
      <c r="D22" s="21" t="s">
        <v>289</v>
      </c>
      <c r="E22" s="50" t="s">
        <v>294</v>
      </c>
    </row>
    <row r="24" spans="1:5" x14ac:dyDescent="0.25">
      <c r="A24" s="48" t="s">
        <v>295</v>
      </c>
      <c r="B24" s="48"/>
      <c r="C24" s="48"/>
      <c r="D24" s="48"/>
      <c r="E24" s="48"/>
    </row>
    <row r="25" spans="1:4" x14ac:dyDescent="0.25">
      <c r="A25" s="37" t="s">
        <v>296</v>
      </c>
      <c r="B25" s="37" t="s">
        <v>297</v>
      </c>
      <c r="C25" s="37" t="s">
        <v>298</v>
      </c>
      <c r="D25" s="37" t="s">
        <v>299</v>
      </c>
    </row>
    <row r="26" spans="1:4" x14ac:dyDescent="0.25">
      <c r="A26" s="49" t="s">
        <v>300</v>
      </c>
      <c r="B26" s="21" t="s">
        <v>301</v>
      </c>
      <c r="C26" s="21" t="s">
        <v>302</v>
      </c>
      <c r="D26" s="51" t="s">
        <v>303</v>
      </c>
    </row>
    <row r="27" spans="1:4" x14ac:dyDescent="0.25">
      <c r="A27" s="49" t="s">
        <v>304</v>
      </c>
      <c r="B27" s="21" t="s">
        <v>305</v>
      </c>
      <c r="C27" s="21" t="s">
        <v>306</v>
      </c>
      <c r="D27" s="51" t="s">
        <v>307</v>
      </c>
    </row>
    <row r="28" spans="1:4" x14ac:dyDescent="0.25">
      <c r="A28" s="49" t="s">
        <v>308</v>
      </c>
      <c r="B28" s="21" t="s">
        <v>309</v>
      </c>
      <c r="C28" s="21" t="s">
        <v>310</v>
      </c>
      <c r="D28" s="51" t="s">
        <v>311</v>
      </c>
    </row>
    <row r="29" spans="1:4" x14ac:dyDescent="0.25">
      <c r="A29" s="49" t="s">
        <v>312</v>
      </c>
      <c r="B29" s="21" t="s">
        <v>313</v>
      </c>
      <c r="C29" s="21" t="s">
        <v>314</v>
      </c>
      <c r="D29" s="51" t="s">
        <v>315</v>
      </c>
    </row>
    <row r="30" spans="1:4" x14ac:dyDescent="0.25">
      <c r="A30" s="49" t="s">
        <v>316</v>
      </c>
      <c r="B30" s="21" t="s">
        <v>317</v>
      </c>
      <c r="C30" s="21" t="s">
        <v>318</v>
      </c>
      <c r="D30" s="51" t="s">
        <v>319</v>
      </c>
    </row>
    <row r="31" spans="1:4" x14ac:dyDescent="0.25">
      <c r="A31" s="49" t="s">
        <v>320</v>
      </c>
      <c r="B31" s="21" t="s">
        <v>321</v>
      </c>
      <c r="C31" s="21" t="s">
        <v>322</v>
      </c>
      <c r="D31" s="51" t="s">
        <v>323</v>
      </c>
    </row>
    <row r="33" spans="1:5" x14ac:dyDescent="0.25">
      <c r="A33" s="48" t="s">
        <v>324</v>
      </c>
      <c r="B33" s="48"/>
      <c r="C33" s="48"/>
      <c r="D33" s="48"/>
      <c r="E33" s="48"/>
    </row>
    <row r="34" spans="1:5" x14ac:dyDescent="0.25">
      <c r="A34" s="37" t="s">
        <v>132</v>
      </c>
      <c r="B34" s="37" t="s">
        <v>325</v>
      </c>
      <c r="C34" s="37" t="s">
        <v>326</v>
      </c>
      <c r="D34" s="37" t="s">
        <v>327</v>
      </c>
      <c r="E34" s="37" t="s">
        <v>114</v>
      </c>
    </row>
    <row r="35" spans="1:5" x14ac:dyDescent="0.25">
      <c r="A35" s="21" t="s">
        <v>328</v>
      </c>
      <c r="B35" s="21" t="s">
        <v>329</v>
      </c>
      <c r="C35" s="49" t="s">
        <v>330</v>
      </c>
      <c r="D35" s="21" t="s">
        <v>331</v>
      </c>
      <c r="E35" s="50" t="s">
        <v>332</v>
      </c>
    </row>
    <row r="36" spans="1:5" x14ac:dyDescent="0.25">
      <c r="A36" s="21" t="s">
        <v>333</v>
      </c>
      <c r="B36" s="21" t="s">
        <v>329</v>
      </c>
      <c r="C36" s="49" t="s">
        <v>330</v>
      </c>
      <c r="D36" s="21" t="s">
        <v>331</v>
      </c>
      <c r="E36" s="50" t="s">
        <v>334</v>
      </c>
    </row>
    <row r="37" spans="1:5" x14ac:dyDescent="0.25">
      <c r="A37" s="21" t="s">
        <v>335</v>
      </c>
      <c r="B37" s="21" t="s">
        <v>330</v>
      </c>
      <c r="C37" s="49" t="s">
        <v>336</v>
      </c>
      <c r="D37" s="21" t="s">
        <v>337</v>
      </c>
      <c r="E37" s="50" t="s">
        <v>338</v>
      </c>
    </row>
    <row r="38" spans="1:5" x14ac:dyDescent="0.25">
      <c r="A38" s="21" t="s">
        <v>339</v>
      </c>
      <c r="B38" s="21" t="s">
        <v>330</v>
      </c>
      <c r="C38" s="49" t="s">
        <v>340</v>
      </c>
      <c r="D38" s="21" t="s">
        <v>341</v>
      </c>
      <c r="E38" s="50" t="s">
        <v>342</v>
      </c>
    </row>
    <row r="39" spans="1:5" x14ac:dyDescent="0.25">
      <c r="A39" s="21" t="s">
        <v>343</v>
      </c>
      <c r="B39" s="21" t="s">
        <v>330</v>
      </c>
      <c r="C39" s="49" t="s">
        <v>336</v>
      </c>
      <c r="D39" s="21" t="s">
        <v>341</v>
      </c>
      <c r="E39" s="50" t="s">
        <v>344</v>
      </c>
    </row>
    <row r="40" spans="1:5" x14ac:dyDescent="0.25">
      <c r="A40" s="21" t="s">
        <v>345</v>
      </c>
      <c r="B40" s="21" t="s">
        <v>329</v>
      </c>
      <c r="C40" s="49" t="s">
        <v>346</v>
      </c>
      <c r="D40" s="21" t="s">
        <v>337</v>
      </c>
      <c r="E40" s="50" t="s">
        <v>347</v>
      </c>
    </row>
    <row r="41" spans="1:5" x14ac:dyDescent="0.25">
      <c r="A41" s="21" t="s">
        <v>348</v>
      </c>
      <c r="B41" s="21" t="s">
        <v>330</v>
      </c>
      <c r="C41" s="49" t="s">
        <v>340</v>
      </c>
      <c r="D41" s="21" t="s">
        <v>337</v>
      </c>
      <c r="E41" s="50" t="s">
        <v>349</v>
      </c>
    </row>
    <row r="42" spans="1:5" x14ac:dyDescent="0.25">
      <c r="A42" s="21" t="s">
        <v>350</v>
      </c>
      <c r="B42" s="21" t="s">
        <v>336</v>
      </c>
      <c r="C42" s="49" t="s">
        <v>351</v>
      </c>
      <c r="D42" s="21" t="s">
        <v>341</v>
      </c>
      <c r="E42" s="50" t="s">
        <v>352</v>
      </c>
    </row>
    <row r="43" spans="1:5" x14ac:dyDescent="0.25">
      <c r="A43" s="21" t="s">
        <v>353</v>
      </c>
      <c r="B43" s="21" t="s">
        <v>354</v>
      </c>
      <c r="C43" s="49" t="s">
        <v>355</v>
      </c>
      <c r="D43" s="21" t="s">
        <v>356</v>
      </c>
      <c r="E43" s="50" t="s">
        <v>357</v>
      </c>
    </row>
    <row r="44" spans="1:5" x14ac:dyDescent="0.25">
      <c r="A44" s="21" t="s">
        <v>155</v>
      </c>
      <c r="B44" s="21" t="s">
        <v>336</v>
      </c>
      <c r="C44" s="49" t="s">
        <v>354</v>
      </c>
      <c r="D44" s="21" t="s">
        <v>341</v>
      </c>
      <c r="E44" s="50" t="s">
        <v>358</v>
      </c>
    </row>
    <row r="46" spans="1:5" x14ac:dyDescent="0.25">
      <c r="A46" s="48" t="s">
        <v>359</v>
      </c>
      <c r="B46" s="48"/>
      <c r="C46" s="48"/>
      <c r="D46" s="48"/>
      <c r="E46" s="48"/>
    </row>
    <row r="47" spans="1:5" x14ac:dyDescent="0.25">
      <c r="A47" s="52" t="s">
        <v>360</v>
      </c>
      <c r="B47" s="52"/>
      <c r="C47" s="52"/>
      <c r="D47" s="52"/>
      <c r="E47" s="52"/>
    </row>
    <row r="48" spans="1:5" x14ac:dyDescent="0.25">
      <c r="A48" s="52" t="s">
        <v>361</v>
      </c>
      <c r="B48" s="52"/>
      <c r="C48" s="52"/>
      <c r="D48" s="52"/>
      <c r="E48" s="52"/>
    </row>
    <row r="49" spans="1:5" x14ac:dyDescent="0.25">
      <c r="A49" s="52" t="s">
        <v>362</v>
      </c>
      <c r="B49" s="52"/>
      <c r="C49" s="52"/>
      <c r="D49" s="52"/>
      <c r="E49" s="52"/>
    </row>
    <row r="50" spans="1:5" x14ac:dyDescent="0.25">
      <c r="A50" s="52" t="s">
        <v>363</v>
      </c>
      <c r="B50" s="52"/>
      <c r="C50" s="52"/>
      <c r="D50" s="52"/>
      <c r="E50" s="52"/>
    </row>
    <row r="51" spans="1:5" x14ac:dyDescent="0.25">
      <c r="A51" s="52" t="s">
        <v>364</v>
      </c>
      <c r="B51" s="52"/>
      <c r="C51" s="52"/>
      <c r="D51" s="52"/>
      <c r="E51" s="52"/>
    </row>
    <row r="52" spans="1:5" x14ac:dyDescent="0.25">
      <c r="A52" s="52" t="s">
        <v>365</v>
      </c>
      <c r="B52" s="52"/>
      <c r="C52" s="52"/>
      <c r="D52" s="52"/>
      <c r="E52" s="52"/>
    </row>
    <row r="53" spans="1:5" x14ac:dyDescent="0.25">
      <c r="A53" s="52" t="s">
        <v>366</v>
      </c>
      <c r="B53" s="52"/>
      <c r="C53" s="52"/>
      <c r="D53" s="52"/>
      <c r="E53" s="52"/>
    </row>
    <row r="54" spans="1:5" x14ac:dyDescent="0.25">
      <c r="A54" s="52" t="s">
        <v>367</v>
      </c>
      <c r="B54" s="52"/>
      <c r="C54" s="52"/>
      <c r="D54" s="52"/>
      <c r="E54" s="52"/>
    </row>
    <row r="55" spans="1:5" x14ac:dyDescent="0.25">
      <c r="A55" s="52" t="s">
        <v>368</v>
      </c>
      <c r="B55" s="52"/>
      <c r="C55" s="52"/>
      <c r="D55" s="52"/>
      <c r="E55" s="52"/>
    </row>
    <row r="56" spans="1:5" x14ac:dyDescent="0.25">
      <c r="A56" s="52" t="s">
        <v>369</v>
      </c>
      <c r="B56" s="52"/>
      <c r="C56" s="52"/>
      <c r="D56" s="52"/>
      <c r="E56" s="52"/>
    </row>
  </sheetData>
  <mergeCells count="17">
    <mergeCell ref="A1:E1"/>
    <mergeCell ref="A2:E2"/>
    <mergeCell ref="A4:E4"/>
    <mergeCell ref="A13:E13"/>
    <mergeCell ref="A24:E24"/>
    <mergeCell ref="A33:E33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</mergeCells>
  <pageSetup paperSize="1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How to Use</vt:lpstr>
      <vt:lpstr>Bid Calculator</vt:lpstr>
      <vt:lpstr>Company Setup</vt:lpstr>
      <vt:lpstr>Rate Reference</vt:lpstr>
      <vt:lpstr>Your Pricing Calculator</vt:lpstr>
      <vt:lpstr>Job Profitability Tracker</vt:lpstr>
      <vt:lpstr>Quick 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2026-03-08T17:50:23Z</dcterms:created>
  <dcterms:modified xsi:type="dcterms:W3CDTF">2026-03-08T17:50:23Z</dcterms:modified>
</cp:coreProperties>
</file>