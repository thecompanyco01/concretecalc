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How to Use" state="visible" r:id="rId4"/>
    <sheet sheetId="2" name="Estimate" state="visible" r:id="rId5"/>
    <sheet sheetId="3" name="📍 Site Conditions" state="visible" r:id="rId6"/>
    <sheet sheetId="4" name="Change Order" state="visible" r:id="rId7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B63" authorId="0">
      <text>
        <r>
          <t>Enter your overhead percentage (e.g. 10%, 12%, 15%). This covers insurance, office, vehicle, phone, etc.</t>
        </r>
      </text>
    </comment>
    <comment ref="B64" authorId="0">
      <text>
        <r>
          <t>Enter your desired profit margin. 15-25% is typical for residential. 20-30% for decorative/specialty work.</t>
        </r>
      </text>
    </comment>
  </commentList>
</comments>
</file>

<file path=xl/sharedStrings.xml><?xml version="1.0" encoding="utf-8"?>
<sst xmlns="http://schemas.openxmlformats.org/spreadsheetml/2006/main" count="275" uniqueCount="249">
  <si>
    <t>📋 HOW TO USE: Garage Floor Estimate</t>
  </si>
  <si>
    <t>ABOUT THIS TEMPLATE</t>
  </si>
  <si>
    <t>Complete garage floor estimate with 4000 PSI concrete, vapor barrier, wire mesh, control joints, and epoxy sealer. Includes demo of old floor, grading, and full finishing.</t>
  </si>
  <si>
    <t>STEP-BY-STEP INSTRUCTIONS</t>
  </si>
  <si>
    <t>1.</t>
  </si>
  <si>
    <t>Measure the garage floor area (include any bump-outs or utility areas)</t>
  </si>
  <si>
    <t>2.</t>
  </si>
  <si>
    <t>Confirm whether demo of existing floor is required</t>
  </si>
  <si>
    <t>3.</t>
  </si>
  <si>
    <t>Test for moisture vapor emission if epoxy coating is planned</t>
  </si>
  <si>
    <t>4.</t>
  </si>
  <si>
    <t>Check for cracks in existing floor — severe cracking may indicate soil issues</t>
  </si>
  <si>
    <t>5.</t>
  </si>
  <si>
    <t>Verify drain location and required floor slope (1/8" per foot toward drain)</t>
  </si>
  <si>
    <t>6.</t>
  </si>
  <si>
    <t>Confirm epoxy type — standard 2-part, flake broadcast, or polyaspartic</t>
  </si>
  <si>
    <t>7.</t>
  </si>
  <si>
    <t>Include floor grinding / shot blast if epoxy adhesion is critical</t>
  </si>
  <si>
    <t>8.</t>
  </si>
  <si>
    <t>Set overhead and profit margins in the yellow cells</t>
  </si>
  <si>
    <t>9.</t>
  </si>
  <si>
    <t>Use the Change Order sheet for any mid-project scope changes</t>
  </si>
  <si>
    <t>10.</t>
  </si>
  <si>
    <t>Allow 7-day cure before vehicle traffic</t>
  </si>
  <si>
    <t>11.</t>
  </si>
  <si>
    <t/>
  </si>
  <si>
    <t>12.</t>
  </si>
  <si>
    <t>💡 GARAGE FLOOR PRO TIPS:</t>
  </si>
  <si>
    <t>13.</t>
  </si>
  <si>
    <t>• Shot blast before epoxy — it doubles adhesion and prevents peeling. Don't skip it</t>
  </si>
  <si>
    <t>14.</t>
  </si>
  <si>
    <t>• Vapor barrier is non-negotiable — epoxy will peel within 1 year without it</t>
  </si>
  <si>
    <t>15.</t>
  </si>
  <si>
    <t>• Cut control joints within 24 hours of pour — late cuts lead to random cracking</t>
  </si>
  <si>
    <t>16.</t>
  </si>
  <si>
    <t>• Offer flake broadcast epoxy as an upgrade — $500 extra in materials adds $1,500-$2,000 to the ticket</t>
  </si>
  <si>
    <t>17.</t>
  </si>
  <si>
    <t>• Garage floors are high repeat-business — do great work and you'll get the driveway too</t>
  </si>
  <si>
    <t>🟡 YELLOW CELLS = Editable (enter your data here)</t>
  </si>
  <si>
    <t>📊 CELLS WITH FORMULAS (don't overwrite): Column E (Total) in Materials/Labor/Equipment sections, and all PROJECT SUMMARY cells</t>
  </si>
  <si>
    <t>✏️ EDITABLE CELLS: Yellow cells: quantities, unit prices, hours, rates, client info, overhead %, profit %</t>
  </si>
  <si>
    <t>💡 PRO TIPS — INSIDER KNOWLEDGE</t>
  </si>
  <si>
    <t xml:space="preserve">  💡 Test for moisture before committing to epoxy. Failed epoxy jobs lead to callbacks that cost more than the original job</t>
  </si>
  <si>
    <t xml:space="preserve">  💡 Shot blast prep is a premium upsell — most contractors skip it. Offer it at $0.75-$1.25/SF. It's 30 min work and worth it</t>
  </si>
  <si>
    <t xml:space="preserve">  💡 Epoxy flake systems are the #1 garage floor upsell. Cost: $300-$500 extra. Revenue: $1,500-$2,500 extra. Easy sell</t>
  </si>
  <si>
    <t xml:space="preserve">  💡 Always include vapor barrier under new slab — moisture is the #1 cause of epoxy failures and callbacks</t>
  </si>
  <si>
    <t xml:space="preserve">  💡 Garage floors lead to driveways which lead to patios. Treat every garage floor as a relationship-building job</t>
  </si>
  <si>
    <t>TIPS FOR PRINTING / PDF EXPORT</t>
  </si>
  <si>
    <t>• File &gt; Print or Ctrl+P to print</t>
  </si>
  <si>
    <t>• Set to 'Fit Sheet on One Page' for best results</t>
  </si>
  <si>
    <t>• Use 'Portrait' orientation for estimates and contracts</t>
  </si>
  <si>
    <t>• Use 'Landscape' for pricing matrices and marketing plans</t>
  </si>
  <si>
    <t>• To save as PDF: File &gt; Save As &gt; PDF format</t>
  </si>
  <si>
    <t>• Print Preview first to check margins and page breaks</t>
  </si>
  <si>
    <t>🔗 MORE FREE TOOLS: https://estimateconcrete.com</t>
  </si>
  <si>
    <t>Free concrete calculators, estimating guides, and contractor resources</t>
  </si>
  <si>
    <t>[YOUR COMPANY NAME]</t>
  </si>
  <si>
    <t>[Address] • [Phone] • [Email] • [License #]</t>
  </si>
  <si>
    <t>GARAGE FLOOR ESTIMATE</t>
  </si>
  <si>
    <t>Date:</t>
  </si>
  <si>
    <t>March 8, 2026</t>
  </si>
  <si>
    <t>Valid for:</t>
  </si>
  <si>
    <t>30 days</t>
  </si>
  <si>
    <t>CLIENT INFORMATION</t>
  </si>
  <si>
    <t>Name:</t>
  </si>
  <si>
    <t>[Client Name]</t>
  </si>
  <si>
    <t>Phone:</t>
  </si>
  <si>
    <t>[Client Phone]</t>
  </si>
  <si>
    <t>Email:</t>
  </si>
  <si>
    <t>[Client Email]</t>
  </si>
  <si>
    <t>Project Address:</t>
  </si>
  <si>
    <t>[Project Address]</t>
  </si>
  <si>
    <t>MATERIALS</t>
  </si>
  <si>
    <t>Qty</t>
  </si>
  <si>
    <t>Unit</t>
  </si>
  <si>
    <t>Unit Price</t>
  </si>
  <si>
    <t>Total</t>
  </si>
  <si>
    <t>Description</t>
  </si>
  <si>
    <t>Concrete (ready-mix 4000 PSI)</t>
  </si>
  <si>
    <t>CY</t>
  </si>
  <si>
    <t>Vapor barrier (10 mil poly)</t>
  </si>
  <si>
    <t>SF</t>
  </si>
  <si>
    <t>Wire mesh (6x6 W2.9)</t>
  </si>
  <si>
    <t>Control joint material</t>
  </si>
  <si>
    <t>LF</t>
  </si>
  <si>
    <t>Epoxy sealer (2-part)</t>
  </si>
  <si>
    <t>Gal</t>
  </si>
  <si>
    <t>Gravel base (4" depth)</t>
  </si>
  <si>
    <t>Tons</t>
  </si>
  <si>
    <t>Form lumber &amp; stakes</t>
  </si>
  <si>
    <t>Lot</t>
  </si>
  <si>
    <t>Fiber mesh additive</t>
  </si>
  <si>
    <t>Bags</t>
  </si>
  <si>
    <t>Materials Subtotal</t>
  </si>
  <si>
    <t>LABOR</t>
  </si>
  <si>
    <t>Hours</t>
  </si>
  <si>
    <t>Rate</t>
  </si>
  <si>
    <t>Rate ($/hr)</t>
  </si>
  <si>
    <t>Demo old floor / removal</t>
  </si>
  <si>
    <t>Grading &amp; compaction</t>
  </si>
  <si>
    <t>Vapor barrier installation</t>
  </si>
  <si>
    <t>Formwork installation</t>
  </si>
  <si>
    <t>Wire mesh placement</t>
  </si>
  <si>
    <t>Concrete pour &amp; finish</t>
  </si>
  <si>
    <t>Control joint cutting</t>
  </si>
  <si>
    <t>Epoxy sealer application</t>
  </si>
  <si>
    <t>Cleanup &amp; debris removal</t>
  </si>
  <si>
    <t>Labor Subtotal</t>
  </si>
  <si>
    <t>EQUIPMENT</t>
  </si>
  <si>
    <t>Price</t>
  </si>
  <si>
    <t>Demo hammer / jackhammer</t>
  </si>
  <si>
    <t>Day</t>
  </si>
  <si>
    <t>Plate compactor</t>
  </si>
  <si>
    <t>Power trowel</t>
  </si>
  <si>
    <t>Concrete saw (joint cutting)</t>
  </si>
  <si>
    <t>Mobilization</t>
  </si>
  <si>
    <t>Trip</t>
  </si>
  <si>
    <t>Equipment Subtotal</t>
  </si>
  <si>
    <t>PROJECT-SPECIFIC OPTIONS</t>
  </si>
  <si>
    <t>Epoxy flake broadcast system (decorative)</t>
  </si>
  <si>
    <t>Radiant heat tubing (in-slab, per SF)</t>
  </si>
  <si>
    <t>Drain installation or repositioning</t>
  </si>
  <si>
    <t>Thickened edge / turn-down at garage door</t>
  </si>
  <si>
    <t>Step or approach apron (per SF)</t>
  </si>
  <si>
    <t>Extra thickness upgrade (5" or 6")</t>
  </si>
  <si>
    <t>Polyaspartic coating upgrade (faster cure)</t>
  </si>
  <si>
    <t>Floor grinding / shot blast prep (for epoxy adhesion)</t>
  </si>
  <si>
    <t>Options Subtotal</t>
  </si>
  <si>
    <t>PROJECT SUMMARY</t>
  </si>
  <si>
    <t>Materials Total</t>
  </si>
  <si>
    <t>Labor Total</t>
  </si>
  <si>
    <t>Equipment Total</t>
  </si>
  <si>
    <t>Options Total</t>
  </si>
  <si>
    <t>SUBTOTAL</t>
  </si>
  <si>
    <t>Overhead %:</t>
  </si>
  <si>
    <t>Profit Margin %:</t>
  </si>
  <si>
    <t>GRAND TOTAL</t>
  </si>
  <si>
    <t>SITE CONDITIONS CHECKLIST</t>
  </si>
  <si>
    <t>☐ Existing floor condition (crack, heave, moisture)</t>
  </si>
  <si>
    <t>☐ Soil type and compaction quality</t>
  </si>
  <si>
    <t>☐ Moisture vapor emission test recommended</t>
  </si>
  <si>
    <t>☐ Drain location / slope requirements</t>
  </si>
  <si>
    <t>☐ Garage door threshold height</t>
  </si>
  <si>
    <t>☐ Access for concrete truck (min 10' wide)</t>
  </si>
  <si>
    <t>☐ Vehicle load requirements (standard vs. heavy truck)</t>
  </si>
  <si>
    <t>SCOPE EXCLUSIONS (Not Included)</t>
  </si>
  <si>
    <t>✗ Plumbing or drain rough-in (if new)</t>
  </si>
  <si>
    <t>✗ HVAC or electrical in floor</t>
  </si>
  <si>
    <t>✗ Pest control / termite treatment</t>
  </si>
  <si>
    <t>✗ Permits and inspection fees</t>
  </si>
  <si>
    <t>✗ Wall patching around perimeter</t>
  </si>
  <si>
    <t>✗ Drywall repair from moisture remediation</t>
  </si>
  <si>
    <t>✗ Future epoxy recoating (maintenance item)</t>
  </si>
  <si>
    <t>CHANGE ORDERS</t>
  </si>
  <si>
    <t>Change Description</t>
  </si>
  <si>
    <t>Add/Remove</t>
  </si>
  <si>
    <t>Cost Impact</t>
  </si>
  <si>
    <t>Approved (Y/N)</t>
  </si>
  <si>
    <t>WARRANTY INFORMATION</t>
  </si>
  <si>
    <t>1-YEAR WORKMANSHIP WARRANTY: Contractor warrants all work for 12 months from completion date.</t>
  </si>
  <si>
    <t>Warranty covers: structural cracking &gt;1/4", epoxy delamination, improper slope/drainage.</t>
  </si>
  <si>
    <t>Warranty does NOT cover: epoxy surface wear/scuffs, hairline shrinkage cracks (normal), tire marks,</t>
  </si>
  <si>
    <t xml:space="preserve">  chemical staining, damage from vehicle fluids, moisture vapor transmission from soil.</t>
  </si>
  <si>
    <t>EPOXY CARE: Allow 7 days full cure before driving on surface. Avoid hot tire pickup by using floor mats under parking area.</t>
  </si>
  <si>
    <t>VAPOR BARRIER NOTE: If moisture is visible on existing slab, a moisture mitigation system is required before epoxy.</t>
  </si>
  <si>
    <t>CONTROL JOINT SPACING: Standard is 10-12' on center. Joints must be cut within 24 hours of pour.</t>
  </si>
  <si>
    <t>PAYMENT TERMS</t>
  </si>
  <si>
    <t>• 50% deposit upon acceptance of this estimate</t>
  </si>
  <si>
    <t>• 40% upon completion of concrete pour</t>
  </si>
  <si>
    <t>• 10% final payment after client walkthrough</t>
  </si>
  <si>
    <t>TERMS &amp; CONDITIONS</t>
  </si>
  <si>
    <t>This estimate is valid for 30 days. Pricing based on current material costs and may adjust if costs change significantly.</t>
  </si>
  <si>
    <t>Client responsible for permits. Work area must be accessible for concrete trucks. 1-year workmanship warranty.</t>
  </si>
  <si>
    <t>Client Signature: ________________________     Date: ________</t>
  </si>
  <si>
    <t>Contractor Signature: ________________________     Date: ________</t>
  </si>
  <si>
    <t>Template from EstimateConcrete.com — Free concrete contractor tools</t>
  </si>
  <si>
    <t>📍 SITE CONDITIONS ASSESSMENT</t>
  </si>
  <si>
    <t>Complete during site visit. Accurate assessment prevents costly surprises on pour day.</t>
  </si>
  <si>
    <t>Site Visit Date:</t>
  </si>
  <si>
    <t>Assessed By:</t>
  </si>
  <si>
    <t>#</t>
  </si>
  <si>
    <t>Condition / Check Item</t>
  </si>
  <si>
    <t>Status</t>
  </si>
  <si>
    <t>Notes / Details</t>
  </si>
  <si>
    <t>Photo Ref #</t>
  </si>
  <si>
    <t>Action Needed</t>
  </si>
  <si>
    <t>Truck access width (min 10' wide, 13' overhead)</t>
  </si>
  <si>
    <t>Ground conditions — can trucks drive on site?</t>
  </si>
  <si>
    <t>Underground utilities located and marked (call 811)</t>
  </si>
  <si>
    <t>Water source available on site</t>
  </si>
  <si>
    <t>Existing structures/surfaces to protect</t>
  </si>
  <si>
    <t>Drainage pattern — where does water flow?</t>
  </si>
  <si>
    <t>Soil type (clay / sand / rock / fill)</t>
  </si>
  <si>
    <t>Grade / slope measurements taken</t>
  </si>
  <si>
    <t>Property line / setback distances confirmed</t>
  </si>
  <si>
    <t>Permits required (check local code office)</t>
  </si>
  <si>
    <t>Existing floor condition (crack, heave, moisture)</t>
  </si>
  <si>
    <t>Soil type and compaction quality</t>
  </si>
  <si>
    <t>Moisture vapor emission test recommended</t>
  </si>
  <si>
    <t>Drain location / slope requirements</t>
  </si>
  <si>
    <t>Garage door threshold height</t>
  </si>
  <si>
    <t>Access for concrete truck (min 10' wide)</t>
  </si>
  <si>
    <t>Vehicle load requirements (standard vs. heavy truck)</t>
  </si>
  <si>
    <t>📸 SITE PHOTO LOG</t>
  </si>
  <si>
    <t>Photo #</t>
  </si>
  <si>
    <t>Description / Location</t>
  </si>
  <si>
    <t>Direction</t>
  </si>
  <si>
    <t>Purpose</t>
  </si>
  <si>
    <t>File Name</t>
  </si>
  <si>
    <t>Notes</t>
  </si>
  <si>
    <t>1</t>
  </si>
  <si>
    <t>Overall site — wide angle</t>
  </si>
  <si>
    <t>Before condition</t>
  </si>
  <si>
    <t>2</t>
  </si>
  <si>
    <t>Truck access point</t>
  </si>
  <si>
    <t>Access verification</t>
  </si>
  <si>
    <t>3</t>
  </si>
  <si>
    <t>Work area — existing surface</t>
  </si>
  <si>
    <t>4</t>
  </si>
  <si>
    <t>Drainage / water flow</t>
  </si>
  <si>
    <t>Drainage planning</t>
  </si>
  <si>
    <t>5</t>
  </si>
  <si>
    <t>Adjacent structures</t>
  </si>
  <si>
    <t>Protection planning</t>
  </si>
  <si>
    <t>6</t>
  </si>
  <si>
    <t>Utility markings</t>
  </si>
  <si>
    <t>Utility locations</t>
  </si>
  <si>
    <t>7</t>
  </si>
  <si>
    <t>Soil condition</t>
  </si>
  <si>
    <t>Soil assessment</t>
  </si>
  <si>
    <t>8</t>
  </si>
  <si>
    <t>Grade / slope</t>
  </si>
  <si>
    <t>Grading reference</t>
  </si>
  <si>
    <t>9</t>
  </si>
  <si>
    <t>Property boundaries</t>
  </si>
  <si>
    <t>Permit reference</t>
  </si>
  <si>
    <t>10</t>
  </si>
  <si>
    <t>Obstacles / challenges</t>
  </si>
  <si>
    <t>Planning</t>
  </si>
  <si>
    <t>OVERALL SITE ASSESSMENT:</t>
  </si>
  <si>
    <t>CHANGE ORDER LOG</t>
  </si>
  <si>
    <t>Track all mid-project scope changes. Get client approval before proceeding with any change.</t>
  </si>
  <si>
    <t>Project:</t>
  </si>
  <si>
    <t>Original Contract:</t>
  </si>
  <si>
    <t>Description of Change</t>
  </si>
  <si>
    <t>Added Cost</t>
  </si>
  <si>
    <t>Client Approval Date</t>
  </si>
  <si>
    <t>TOTAL CHANGE ORDERS</t>
  </si>
  <si>
    <t>Revised Contract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</si>
</sst>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2" x14ac:knownFonts="1">
    <font>
      <color theme="1"/>
      <family val="2"/>
      <scheme val="minor"/>
      <sz val="11"/>
      <name val="Calibri"/>
    </font>
    <font>
      <b/>
      <color rgb="FF1E293B"/>
      <sz val="16"/>
    </font>
    <font>
      <b/>
      <color rgb="FF1E293B"/>
      <sz val="12"/>
    </font>
    <font>
      <sz val="10"/>
    </font>
    <font>
      <b/>
      <sz val="10"/>
    </font>
    <font>
      <b/>
      <color rgb="FFB45309"/>
      <sz val="11"/>
    </font>
    <font>
      <color rgb="FFDC2626"/>
      <sz val="10"/>
    </font>
    <font>
      <color rgb="FF059669"/>
      <sz val="10"/>
    </font>
    <font>
      <b/>
      <color rgb="FF2563EB"/>
      <sz val="12"/>
    </font>
    <font>
      <color rgb="FF64748B"/>
      <sz val="10"/>
    </font>
    <font>
      <b/>
      <color rgb="FF1E293B"/>
      <sz val="18"/>
    </font>
    <font>
      <b/>
      <color rgb="FF1E293B"/>
      <sz val="14"/>
    </font>
    <font>
      <b/>
      <color rgb="FF1E293B"/>
      <sz val="10"/>
    </font>
    <font>
      <b/>
      <color rgb="FFFFFFFF"/>
      <sz val="11"/>
    </font>
    <font>
      <b/>
    </font>
    <font>
      <b/>
      <color rgb="FFFFFFFF"/>
      <sz val="14"/>
    </font>
    <font>
      <color rgb="FF64748B"/>
      <sz val="9"/>
    </font>
    <font>
      <sz val="9"/>
    </font>
    <font>
      <b/>
      <sz val="11"/>
    </font>
    <font>
      <color rgb="FF94A3B8"/>
      <sz val="8"/>
    </font>
    <font>
      <i/>
      <color rgb="FF94A3B8"/>
      <sz val="10"/>
    </font>
    <font>
      <b/>
      <color rgb="FF10B981"/>
      <sz val="12"/>
    </font>
  </fonts>
  <fills count="7">
    <fill>
      <patternFill patternType="none"/>
    </fill>
    <fill>
      <patternFill patternType="gray125"/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10B981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2" fillId="3" borderId="0" xfId="0" applyFont="1" applyFill="1"/>
    <xf numFmtId="0" fontId="3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0" fontId="4" fillId="0" borderId="0" xfId="0" applyFont="1"/>
    <xf numFmtId="0" fontId="12" fillId="0" borderId="0" xfId="0" applyFont="1"/>
    <xf numFmtId="0" fontId="0" fillId="2" borderId="0" xfId="0" applyFill="1"/>
    <xf numFmtId="0" fontId="13" fillId="4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0" fillId="0" borderId="1" xfId="0" applyBorder="1"/>
    <xf numFmtId="0" fontId="0" fillId="2" borderId="1" xfId="0" applyFill="1" applyBorder="1"/>
    <xf numFmtId="164" fontId="0" fillId="2" borderId="1" xfId="0" applyNumberFormat="1" applyFill="1" applyBorder="1"/>
    <xf numFmtId="164" fontId="0" fillId="0" borderId="1" xfId="0" applyNumberFormat="1" applyBorder="1"/>
    <xf numFmtId="164" fontId="4" fillId="5" borderId="1" xfId="0" applyNumberFormat="1" applyFont="1" applyFill="1" applyBorder="1"/>
    <xf numFmtId="0" fontId="14" fillId="0" borderId="1" xfId="0" applyFont="1" applyBorder="1"/>
    <xf numFmtId="9" fontId="0" fillId="2" borderId="1" xfId="0" applyNumberFormat="1" applyFill="1" applyBorder="1"/>
    <xf numFmtId="0" fontId="15" fillId="6" borderId="1" xfId="0" applyFont="1" applyFill="1" applyBorder="1"/>
    <xf numFmtId="0" fontId="0" fillId="6" borderId="1" xfId="0" applyFill="1" applyBorder="1"/>
    <xf numFmtId="164" fontId="15" fillId="6" borderId="1" xfId="0" applyNumberFormat="1" applyFont="1" applyFill="1" applyBorder="1"/>
    <xf numFmtId="0" fontId="3" fillId="0" borderId="1" xfId="0" applyFont="1" applyBorder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14" fillId="0" borderId="0" xfId="0" applyFon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wrapText="1"/>
    </xf>
    <xf numFmtId="0" fontId="13" fillId="4" borderId="0" xfId="0" applyFont="1" applyFill="1"/>
    <xf numFmtId="0" fontId="20" fillId="0" borderId="1" xfId="0" applyFont="1" applyBorder="1"/>
    <xf numFmtId="0" fontId="0" fillId="2" borderId="1" xfId="0" applyFill="1" applyBorder="1" applyAlignment="1">
      <alignment vertical="top" wrapText="1"/>
    </xf>
    <xf numFmtId="164" fontId="0" fillId="2" borderId="0" xfId="0" applyNumberFormat="1" applyFill="1"/>
    <xf numFmtId="164" fontId="2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EF3C7"/>
  </sheetPr>
  <dimension ref="A1:B45"/>
  <sheetFormatPr defaultRowHeight="15" outlineLevelRow="0" outlineLevelCol="0" x14ac:dyDescent="55"/>
  <cols>
    <col min="1" max="1" width="6" customWidth="1"/>
    <col min="2" max="2" width="60" customWidth="1"/>
  </cols>
  <sheetData>
    <row r="1" ht="30" customHeight="1" spans="1:2" x14ac:dyDescent="0.25">
      <c r="A1" s="1" t="s">
        <v>0</v>
      </c>
      <c r="B1" s="1"/>
    </row>
    <row r="3" spans="1:2" x14ac:dyDescent="0.25">
      <c r="A3" s="2" t="s">
        <v>1</v>
      </c>
      <c r="B3" s="2"/>
    </row>
    <row r="4" ht="40" customHeight="1" spans="1:2" x14ac:dyDescent="0.25">
      <c r="A4" s="3" t="s">
        <v>2</v>
      </c>
      <c r="B4" s="3"/>
    </row>
    <row r="6" spans="1:2" x14ac:dyDescent="0.25">
      <c r="A6" s="2" t="s">
        <v>3</v>
      </c>
      <c r="B6" s="2"/>
    </row>
    <row r="7" spans="1:2" x14ac:dyDescent="0.25">
      <c r="A7" s="4" t="s">
        <v>4</v>
      </c>
      <c r="B7" s="3" t="s">
        <v>5</v>
      </c>
    </row>
    <row r="8" spans="1:2" x14ac:dyDescent="0.25">
      <c r="A8" s="4" t="s">
        <v>6</v>
      </c>
      <c r="B8" s="3" t="s">
        <v>7</v>
      </c>
    </row>
    <row r="9" spans="1:2" x14ac:dyDescent="0.25">
      <c r="A9" s="4" t="s">
        <v>8</v>
      </c>
      <c r="B9" s="3" t="s">
        <v>9</v>
      </c>
    </row>
    <row r="10" spans="1:2" x14ac:dyDescent="0.25">
      <c r="A10" s="4" t="s">
        <v>10</v>
      </c>
      <c r="B10" s="3" t="s">
        <v>11</v>
      </c>
    </row>
    <row r="11" spans="1:2" x14ac:dyDescent="0.25">
      <c r="A11" s="4" t="s">
        <v>12</v>
      </c>
      <c r="B11" s="3" t="s">
        <v>13</v>
      </c>
    </row>
    <row r="12" spans="1:2" x14ac:dyDescent="0.25">
      <c r="A12" s="4" t="s">
        <v>14</v>
      </c>
      <c r="B12" s="3" t="s">
        <v>15</v>
      </c>
    </row>
    <row r="13" spans="1:2" x14ac:dyDescent="0.25">
      <c r="A13" s="4" t="s">
        <v>16</v>
      </c>
      <c r="B13" s="3" t="s">
        <v>17</v>
      </c>
    </row>
    <row r="14" spans="1:2" x14ac:dyDescent="0.25">
      <c r="A14" s="4" t="s">
        <v>18</v>
      </c>
      <c r="B14" s="3" t="s">
        <v>19</v>
      </c>
    </row>
    <row r="15" spans="1:2" x14ac:dyDescent="0.25">
      <c r="A15" s="4" t="s">
        <v>20</v>
      </c>
      <c r="B15" s="3" t="s">
        <v>21</v>
      </c>
    </row>
    <row r="16" spans="1:2" x14ac:dyDescent="0.25">
      <c r="A16" s="4" t="s">
        <v>22</v>
      </c>
      <c r="B16" s="3" t="s">
        <v>23</v>
      </c>
    </row>
    <row r="17" spans="1:2" x14ac:dyDescent="0.25">
      <c r="A17" s="4" t="s">
        <v>24</v>
      </c>
      <c r="B17" s="3" t="s">
        <v>25</v>
      </c>
    </row>
    <row r="18" spans="1:2" x14ac:dyDescent="0.25">
      <c r="A18" s="4" t="s">
        <v>26</v>
      </c>
      <c r="B18" s="3" t="s">
        <v>27</v>
      </c>
    </row>
    <row r="19" spans="1:2" x14ac:dyDescent="0.25">
      <c r="A19" s="4" t="s">
        <v>28</v>
      </c>
      <c r="B19" s="3" t="s">
        <v>29</v>
      </c>
    </row>
    <row r="20" spans="1:2" x14ac:dyDescent="0.25">
      <c r="A20" s="4" t="s">
        <v>30</v>
      </c>
      <c r="B20" s="3" t="s">
        <v>31</v>
      </c>
    </row>
    <row r="21" spans="1:2" x14ac:dyDescent="0.25">
      <c r="A21" s="4" t="s">
        <v>32</v>
      </c>
      <c r="B21" s="3" t="s">
        <v>33</v>
      </c>
    </row>
    <row r="22" spans="1:2" x14ac:dyDescent="0.25">
      <c r="A22" s="4" t="s">
        <v>34</v>
      </c>
      <c r="B22" s="3" t="s">
        <v>35</v>
      </c>
    </row>
    <row r="23" spans="1:2" x14ac:dyDescent="0.25">
      <c r="A23" s="4" t="s">
        <v>36</v>
      </c>
      <c r="B23" s="3" t="s">
        <v>37</v>
      </c>
    </row>
    <row r="25" spans="1:2" x14ac:dyDescent="0.25">
      <c r="A25" s="5" t="s">
        <v>38</v>
      </c>
      <c r="B25" s="5"/>
    </row>
    <row r="26" spans="1:2" x14ac:dyDescent="0.25">
      <c r="A26" s="6" t="s">
        <v>39</v>
      </c>
      <c r="B26" s="6"/>
    </row>
    <row r="27" spans="1:2" x14ac:dyDescent="0.25">
      <c r="A27" s="7" t="s">
        <v>40</v>
      </c>
      <c r="B27" s="7"/>
    </row>
    <row r="29" spans="1:2" x14ac:dyDescent="0.25">
      <c r="A29" s="8" t="s">
        <v>41</v>
      </c>
      <c r="B29" s="8"/>
    </row>
    <row r="30" ht="28" customHeight="1" spans="1:2" x14ac:dyDescent="0.25">
      <c r="A30" s="3" t="s">
        <v>42</v>
      </c>
      <c r="B30" s="3"/>
    </row>
    <row r="31" ht="28" customHeight="1" spans="1:2" x14ac:dyDescent="0.25">
      <c r="A31" s="3" t="s">
        <v>43</v>
      </c>
      <c r="B31" s="3"/>
    </row>
    <row r="32" ht="28" customHeight="1" spans="1:2" x14ac:dyDescent="0.25">
      <c r="A32" s="3" t="s">
        <v>44</v>
      </c>
      <c r="B32" s="3"/>
    </row>
    <row r="33" ht="28" customHeight="1" spans="1:2" x14ac:dyDescent="0.25">
      <c r="A33" s="3" t="s">
        <v>45</v>
      </c>
      <c r="B33" s="3"/>
    </row>
    <row r="34" ht="28" customHeight="1" spans="1:2" x14ac:dyDescent="0.25">
      <c r="A34" s="3" t="s">
        <v>46</v>
      </c>
      <c r="B34" s="3"/>
    </row>
    <row r="36" spans="1:2" x14ac:dyDescent="0.25">
      <c r="A36" s="2" t="s">
        <v>47</v>
      </c>
      <c r="B36" s="2"/>
    </row>
    <row r="37" spans="1:2" x14ac:dyDescent="0.25">
      <c r="A37" s="9" t="s">
        <v>48</v>
      </c>
      <c r="B37" s="9"/>
    </row>
    <row r="38" spans="1:2" x14ac:dyDescent="0.25">
      <c r="A38" s="9" t="s">
        <v>49</v>
      </c>
      <c r="B38" s="9"/>
    </row>
    <row r="39" spans="1:2" x14ac:dyDescent="0.25">
      <c r="A39" s="9" t="s">
        <v>50</v>
      </c>
      <c r="B39" s="9"/>
    </row>
    <row r="40" spans="1:2" x14ac:dyDescent="0.25">
      <c r="A40" s="9" t="s">
        <v>51</v>
      </c>
      <c r="B40" s="9"/>
    </row>
    <row r="41" spans="1:2" x14ac:dyDescent="0.25">
      <c r="A41" s="9" t="s">
        <v>52</v>
      </c>
      <c r="B41" s="9"/>
    </row>
    <row r="42" spans="1:2" x14ac:dyDescent="0.25">
      <c r="A42" s="9" t="s">
        <v>53</v>
      </c>
      <c r="B42" s="9"/>
    </row>
    <row r="44" spans="1:2" x14ac:dyDescent="0.25">
      <c r="A44" s="10" t="s">
        <v>54</v>
      </c>
      <c r="B44" s="10"/>
    </row>
    <row r="45" spans="1:2" x14ac:dyDescent="0.25">
      <c r="A45" s="11" t="s">
        <v>55</v>
      </c>
      <c r="B45" s="11"/>
    </row>
  </sheetData>
  <mergeCells count="22">
    <mergeCell ref="A1:B1"/>
    <mergeCell ref="A3:B3"/>
    <mergeCell ref="A4:B4"/>
    <mergeCell ref="A6:B6"/>
    <mergeCell ref="A25:B25"/>
    <mergeCell ref="A26:B26"/>
    <mergeCell ref="A27:B27"/>
    <mergeCell ref="A29:B29"/>
    <mergeCell ref="A30:B30"/>
    <mergeCell ref="A31:B31"/>
    <mergeCell ref="A32:B32"/>
    <mergeCell ref="A33:B33"/>
    <mergeCell ref="A34:B34"/>
    <mergeCell ref="A36:B36"/>
    <mergeCell ref="A37:B37"/>
    <mergeCell ref="A38:B38"/>
    <mergeCell ref="A39:B39"/>
    <mergeCell ref="A40:B40"/>
    <mergeCell ref="A41:B41"/>
    <mergeCell ref="A42:B42"/>
    <mergeCell ref="A44:B44"/>
    <mergeCell ref="A45:B4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4"/>
  <sheetFormatPr defaultRowHeight="15" outlineLevelRow="0" outlineLevelCol="0" x14ac:dyDescent="55"/>
  <cols>
    <col min="1" max="1" width="34" customWidth="1"/>
    <col min="2" max="3" width="10" customWidth="1"/>
    <col min="4" max="6" width="14" customWidth="1"/>
  </cols>
  <sheetData>
    <row r="1" ht="30" customHeight="1" spans="1:6" x14ac:dyDescent="0.25">
      <c r="A1" s="12" t="s">
        <v>56</v>
      </c>
      <c r="B1" s="12"/>
      <c r="C1" s="12"/>
      <c r="D1" s="12"/>
      <c r="E1" s="12"/>
      <c r="F1" s="12"/>
    </row>
    <row r="2" spans="1:6" x14ac:dyDescent="0.25">
      <c r="A2" s="11" t="s">
        <v>57</v>
      </c>
      <c r="B2" s="11"/>
      <c r="C2" s="11"/>
      <c r="D2" s="11"/>
      <c r="E2" s="11"/>
      <c r="F2" s="11"/>
    </row>
    <row r="3" ht="25" customHeight="1" spans="1:6" x14ac:dyDescent="0.25">
      <c r="A3" s="13" t="s">
        <v>58</v>
      </c>
      <c r="B3" s="13"/>
      <c r="C3" s="13"/>
      <c r="D3" s="13"/>
      <c r="E3" s="13"/>
      <c r="F3" s="13"/>
    </row>
    <row r="4" spans="1:5" x14ac:dyDescent="0.25">
      <c r="A4" s="14" t="s">
        <v>59</v>
      </c>
      <c r="B4" t="s">
        <v>60</v>
      </c>
      <c r="D4" s="14" t="s">
        <v>61</v>
      </c>
      <c r="E4" t="s">
        <v>62</v>
      </c>
    </row>
    <row r="6" spans="1:1" x14ac:dyDescent="0.25">
      <c r="A6" s="15" t="s">
        <v>63</v>
      </c>
    </row>
    <row r="7" spans="1:2" x14ac:dyDescent="0.25">
      <c r="A7" s="14" t="s">
        <v>64</v>
      </c>
      <c r="B7" s="16" t="s">
        <v>65</v>
      </c>
    </row>
    <row r="8" spans="1:2" x14ac:dyDescent="0.25">
      <c r="A8" s="14" t="s">
        <v>66</v>
      </c>
      <c r="B8" s="16" t="s">
        <v>67</v>
      </c>
    </row>
    <row r="9" spans="1:2" x14ac:dyDescent="0.25">
      <c r="A9" s="14" t="s">
        <v>68</v>
      </c>
      <c r="B9" s="16" t="s">
        <v>69</v>
      </c>
    </row>
    <row r="10" spans="1:2" x14ac:dyDescent="0.25">
      <c r="A10" s="14" t="s">
        <v>70</v>
      </c>
      <c r="B10" s="16" t="s">
        <v>71</v>
      </c>
    </row>
    <row r="12" ht="22" customHeight="1" spans="1:5" x14ac:dyDescent="0.25">
      <c r="A12" s="17" t="s">
        <v>72</v>
      </c>
      <c r="B12" s="18" t="s">
        <v>73</v>
      </c>
      <c r="C12" s="18" t="s">
        <v>74</v>
      </c>
      <c r="D12" s="18" t="s">
        <v>75</v>
      </c>
      <c r="E12" s="18" t="s">
        <v>76</v>
      </c>
    </row>
    <row r="13" spans="1:5" x14ac:dyDescent="0.25">
      <c r="A13" s="19" t="s">
        <v>77</v>
      </c>
      <c r="B13" s="19" t="s">
        <v>73</v>
      </c>
      <c r="C13" s="19" t="s">
        <v>74</v>
      </c>
      <c r="D13" s="19" t="s">
        <v>75</v>
      </c>
      <c r="E13" s="19" t="s">
        <v>76</v>
      </c>
    </row>
    <row r="14" spans="1:5" x14ac:dyDescent="0.25">
      <c r="A14" s="20" t="s">
        <v>78</v>
      </c>
      <c r="B14" s="21">
        <v>10</v>
      </c>
      <c r="C14" s="20" t="s">
        <v>79</v>
      </c>
      <c r="D14" s="22">
        <v>155</v>
      </c>
      <c r="E14" s="23">
        <f>B14*D14</f>
      </c>
    </row>
    <row r="15" spans="1:5" x14ac:dyDescent="0.25">
      <c r="A15" s="20" t="s">
        <v>80</v>
      </c>
      <c r="B15" s="21">
        <v>800</v>
      </c>
      <c r="C15" s="20" t="s">
        <v>81</v>
      </c>
      <c r="D15" s="22">
        <v>0.18</v>
      </c>
      <c r="E15" s="23">
        <f>B15*D15</f>
      </c>
    </row>
    <row r="16" spans="1:5" x14ac:dyDescent="0.25">
      <c r="A16" s="20" t="s">
        <v>82</v>
      </c>
      <c r="B16" s="21">
        <v>800</v>
      </c>
      <c r="C16" s="20" t="s">
        <v>81</v>
      </c>
      <c r="D16" s="22">
        <v>0.45</v>
      </c>
      <c r="E16" s="23">
        <f>B16*D16</f>
      </c>
    </row>
    <row r="17" spans="1:5" x14ac:dyDescent="0.25">
      <c r="A17" s="20" t="s">
        <v>83</v>
      </c>
      <c r="B17" s="21">
        <v>80</v>
      </c>
      <c r="C17" s="20" t="s">
        <v>84</v>
      </c>
      <c r="D17" s="22">
        <v>1.25</v>
      </c>
      <c r="E17" s="23">
        <f>B17*D17</f>
      </c>
    </row>
    <row r="18" spans="1:5" x14ac:dyDescent="0.25">
      <c r="A18" s="20" t="s">
        <v>85</v>
      </c>
      <c r="B18" s="21">
        <v>8</v>
      </c>
      <c r="C18" s="20" t="s">
        <v>86</v>
      </c>
      <c r="D18" s="22">
        <v>48</v>
      </c>
      <c r="E18" s="23">
        <f>B18*D18</f>
      </c>
    </row>
    <row r="19" spans="1:5" x14ac:dyDescent="0.25">
      <c r="A19" s="20" t="s">
        <v>87</v>
      </c>
      <c r="B19" s="21">
        <v>6</v>
      </c>
      <c r="C19" s="20" t="s">
        <v>88</v>
      </c>
      <c r="D19" s="22">
        <v>35</v>
      </c>
      <c r="E19" s="23">
        <f>B19*D19</f>
      </c>
    </row>
    <row r="20" spans="1:5" x14ac:dyDescent="0.25">
      <c r="A20" s="20" t="s">
        <v>89</v>
      </c>
      <c r="B20" s="21">
        <v>1</v>
      </c>
      <c r="C20" s="20" t="s">
        <v>90</v>
      </c>
      <c r="D20" s="22">
        <v>300</v>
      </c>
      <c r="E20" s="23">
        <f>B20*D20</f>
      </c>
    </row>
    <row r="21" spans="1:5" x14ac:dyDescent="0.25">
      <c r="A21" s="20" t="s">
        <v>91</v>
      </c>
      <c r="B21" s="21">
        <v>10</v>
      </c>
      <c r="C21" s="20" t="s">
        <v>92</v>
      </c>
      <c r="D21" s="22">
        <v>12</v>
      </c>
      <c r="E21" s="23">
        <f>B21*D21</f>
      </c>
    </row>
    <row r="22" spans="1:5" x14ac:dyDescent="0.25">
      <c r="A22" s="19" t="s">
        <v>93</v>
      </c>
      <c r="B22" s="19"/>
      <c r="C22" s="19"/>
      <c r="D22" s="19"/>
      <c r="E22" s="24">
        <f>SUM(E14:E21)</f>
      </c>
    </row>
    <row r="24" ht="22" customHeight="1" spans="1:5" x14ac:dyDescent="0.25">
      <c r="A24" s="17" t="s">
        <v>94</v>
      </c>
      <c r="B24" s="18" t="s">
        <v>95</v>
      </c>
      <c r="C24" s="18"/>
      <c r="D24" s="18" t="s">
        <v>96</v>
      </c>
      <c r="E24" s="18" t="s">
        <v>76</v>
      </c>
    </row>
    <row r="25" spans="1:5" x14ac:dyDescent="0.25">
      <c r="A25" s="19" t="s">
        <v>77</v>
      </c>
      <c r="B25" s="19" t="s">
        <v>95</v>
      </c>
      <c r="C25" s="19"/>
      <c r="D25" s="19" t="s">
        <v>97</v>
      </c>
      <c r="E25" s="19" t="s">
        <v>76</v>
      </c>
    </row>
    <row r="26" spans="1:5" x14ac:dyDescent="0.25">
      <c r="A26" s="20" t="s">
        <v>98</v>
      </c>
      <c r="B26" s="21">
        <v>12</v>
      </c>
      <c r="C26" s="20"/>
      <c r="D26" s="22">
        <v>55</v>
      </c>
      <c r="E26" s="23">
        <f>B26*D26</f>
      </c>
    </row>
    <row r="27" spans="1:5" x14ac:dyDescent="0.25">
      <c r="A27" s="20" t="s">
        <v>99</v>
      </c>
      <c r="B27" s="21">
        <v>8</v>
      </c>
      <c r="C27" s="20"/>
      <c r="D27" s="22">
        <v>55</v>
      </c>
      <c r="E27" s="23">
        <f>B27*D27</f>
      </c>
    </row>
    <row r="28" spans="1:5" x14ac:dyDescent="0.25">
      <c r="A28" s="20" t="s">
        <v>100</v>
      </c>
      <c r="B28" s="21">
        <v>4</v>
      </c>
      <c r="C28" s="20"/>
      <c r="D28" s="22">
        <v>45</v>
      </c>
      <c r="E28" s="23">
        <f>B28*D28</f>
      </c>
    </row>
    <row r="29" spans="1:5" x14ac:dyDescent="0.25">
      <c r="A29" s="20" t="s">
        <v>101</v>
      </c>
      <c r="B29" s="21">
        <v>6</v>
      </c>
      <c r="C29" s="20"/>
      <c r="D29" s="22">
        <v>55</v>
      </c>
      <c r="E29" s="23">
        <f>B29*D29</f>
      </c>
    </row>
    <row r="30" spans="1:5" x14ac:dyDescent="0.25">
      <c r="A30" s="20" t="s">
        <v>102</v>
      </c>
      <c r="B30" s="21">
        <v>4</v>
      </c>
      <c r="C30" s="20"/>
      <c r="D30" s="22">
        <v>55</v>
      </c>
      <c r="E30" s="23">
        <f>B30*D30</f>
      </c>
    </row>
    <row r="31" spans="1:5" x14ac:dyDescent="0.25">
      <c r="A31" s="20" t="s">
        <v>103</v>
      </c>
      <c r="B31" s="21">
        <v>12</v>
      </c>
      <c r="C31" s="20"/>
      <c r="D31" s="22">
        <v>65</v>
      </c>
      <c r="E31" s="23">
        <f>B31*D31</f>
      </c>
    </row>
    <row r="32" spans="1:5" x14ac:dyDescent="0.25">
      <c r="A32" s="20" t="s">
        <v>104</v>
      </c>
      <c r="B32" s="21">
        <v>4</v>
      </c>
      <c r="C32" s="20"/>
      <c r="D32" s="22">
        <v>55</v>
      </c>
      <c r="E32" s="23">
        <f>B32*D32</f>
      </c>
    </row>
    <row r="33" spans="1:5" x14ac:dyDescent="0.25">
      <c r="A33" s="20" t="s">
        <v>105</v>
      </c>
      <c r="B33" s="21">
        <v>6</v>
      </c>
      <c r="C33" s="20"/>
      <c r="D33" s="22">
        <v>55</v>
      </c>
      <c r="E33" s="23">
        <f>B33*D33</f>
      </c>
    </row>
    <row r="34" spans="1:5" x14ac:dyDescent="0.25">
      <c r="A34" s="20" t="s">
        <v>106</v>
      </c>
      <c r="B34" s="21">
        <v>6</v>
      </c>
      <c r="C34" s="20"/>
      <c r="D34" s="22">
        <v>45</v>
      </c>
      <c r="E34" s="23">
        <f>B34*D34</f>
      </c>
    </row>
    <row r="35" spans="1:5" x14ac:dyDescent="0.25">
      <c r="A35" s="19" t="s">
        <v>107</v>
      </c>
      <c r="B35" s="19"/>
      <c r="C35" s="19"/>
      <c r="D35" s="19"/>
      <c r="E35" s="24">
        <f>SUM(E26:E34)</f>
      </c>
    </row>
    <row r="37" ht="22" customHeight="1" spans="1:5" x14ac:dyDescent="0.25">
      <c r="A37" s="17" t="s">
        <v>108</v>
      </c>
      <c r="B37" s="18" t="s">
        <v>73</v>
      </c>
      <c r="C37" s="18" t="s">
        <v>74</v>
      </c>
      <c r="D37" s="18" t="s">
        <v>109</v>
      </c>
      <c r="E37" s="18" t="s">
        <v>76</v>
      </c>
    </row>
    <row r="38" spans="1:5" x14ac:dyDescent="0.25">
      <c r="A38" s="19" t="s">
        <v>77</v>
      </c>
      <c r="B38" s="19" t="s">
        <v>73</v>
      </c>
      <c r="C38" s="19" t="s">
        <v>74</v>
      </c>
      <c r="D38" s="19" t="s">
        <v>109</v>
      </c>
      <c r="E38" s="19" t="s">
        <v>76</v>
      </c>
    </row>
    <row r="39" spans="1:5" x14ac:dyDescent="0.25">
      <c r="A39" s="20" t="s">
        <v>110</v>
      </c>
      <c r="B39" s="21">
        <v>1</v>
      </c>
      <c r="C39" s="20" t="s">
        <v>111</v>
      </c>
      <c r="D39" s="22">
        <v>150</v>
      </c>
      <c r="E39" s="23">
        <f>B39*D39</f>
      </c>
    </row>
    <row r="40" spans="1:5" x14ac:dyDescent="0.25">
      <c r="A40" s="20" t="s">
        <v>112</v>
      </c>
      <c r="B40" s="21">
        <v>1</v>
      </c>
      <c r="C40" s="20" t="s">
        <v>111</v>
      </c>
      <c r="D40" s="22">
        <v>125</v>
      </c>
      <c r="E40" s="23">
        <f>B40*D40</f>
      </c>
    </row>
    <row r="41" spans="1:5" x14ac:dyDescent="0.25">
      <c r="A41" s="20" t="s">
        <v>113</v>
      </c>
      <c r="B41" s="21">
        <v>1</v>
      </c>
      <c r="C41" s="20" t="s">
        <v>111</v>
      </c>
      <c r="D41" s="22">
        <v>150</v>
      </c>
      <c r="E41" s="23">
        <f>B41*D41</f>
      </c>
    </row>
    <row r="42" spans="1:5" x14ac:dyDescent="0.25">
      <c r="A42" s="20" t="s">
        <v>114</v>
      </c>
      <c r="B42" s="21">
        <v>1</v>
      </c>
      <c r="C42" s="20" t="s">
        <v>111</v>
      </c>
      <c r="D42" s="22">
        <v>125</v>
      </c>
      <c r="E42" s="23">
        <f>B42*D42</f>
      </c>
    </row>
    <row r="43" spans="1:5" x14ac:dyDescent="0.25">
      <c r="A43" s="20" t="s">
        <v>115</v>
      </c>
      <c r="B43" s="21">
        <v>1</v>
      </c>
      <c r="C43" s="20" t="s">
        <v>116</v>
      </c>
      <c r="D43" s="22">
        <v>250</v>
      </c>
      <c r="E43" s="23">
        <f>B43*D43</f>
      </c>
    </row>
    <row r="44" spans="1:5" x14ac:dyDescent="0.25">
      <c r="A44" s="19" t="s">
        <v>117</v>
      </c>
      <c r="B44" s="19"/>
      <c r="C44" s="19"/>
      <c r="D44" s="19"/>
      <c r="E44" s="24">
        <f>SUM(E39:E43)</f>
      </c>
    </row>
    <row r="46" ht="22" customHeight="1" spans="1:5" x14ac:dyDescent="0.25">
      <c r="A46" s="17" t="s">
        <v>118</v>
      </c>
      <c r="B46" s="18"/>
      <c r="C46" s="18"/>
      <c r="D46" s="18"/>
      <c r="E46" s="18"/>
    </row>
    <row r="47" spans="1:5" x14ac:dyDescent="0.25">
      <c r="A47" s="20" t="s">
        <v>119</v>
      </c>
      <c r="B47" s="21"/>
      <c r="C47" s="20"/>
      <c r="D47" s="22"/>
      <c r="E47" s="23">
        <f>B47*D47</f>
      </c>
    </row>
    <row r="48" spans="1:5" x14ac:dyDescent="0.25">
      <c r="A48" s="20" t="s">
        <v>120</v>
      </c>
      <c r="B48" s="21"/>
      <c r="C48" s="20"/>
      <c r="D48" s="22"/>
      <c r="E48" s="23">
        <f>B48*D48</f>
      </c>
    </row>
    <row r="49" spans="1:5" x14ac:dyDescent="0.25">
      <c r="A49" s="20" t="s">
        <v>121</v>
      </c>
      <c r="B49" s="21"/>
      <c r="C49" s="20"/>
      <c r="D49" s="22"/>
      <c r="E49" s="23">
        <f>B49*D49</f>
      </c>
    </row>
    <row r="50" spans="1:5" x14ac:dyDescent="0.25">
      <c r="A50" s="20" t="s">
        <v>122</v>
      </c>
      <c r="B50" s="21"/>
      <c r="C50" s="20"/>
      <c r="D50" s="22"/>
      <c r="E50" s="23">
        <f>B50*D50</f>
      </c>
    </row>
    <row r="51" spans="1:5" x14ac:dyDescent="0.25">
      <c r="A51" s="20" t="s">
        <v>123</v>
      </c>
      <c r="B51" s="21"/>
      <c r="C51" s="20"/>
      <c r="D51" s="22"/>
      <c r="E51" s="23">
        <f>B51*D51</f>
      </c>
    </row>
    <row r="52" spans="1:5" x14ac:dyDescent="0.25">
      <c r="A52" s="20" t="s">
        <v>124</v>
      </c>
      <c r="B52" s="21"/>
      <c r="C52" s="20"/>
      <c r="D52" s="22"/>
      <c r="E52" s="23">
        <f>B52*D52</f>
      </c>
    </row>
    <row r="53" spans="1:5" x14ac:dyDescent="0.25">
      <c r="A53" s="20" t="s">
        <v>125</v>
      </c>
      <c r="B53" s="21"/>
      <c r="C53" s="20"/>
      <c r="D53" s="22"/>
      <c r="E53" s="23">
        <f>B53*D53</f>
      </c>
    </row>
    <row r="54" spans="1:5" x14ac:dyDescent="0.25">
      <c r="A54" s="20" t="s">
        <v>126</v>
      </c>
      <c r="B54" s="21"/>
      <c r="C54" s="20"/>
      <c r="D54" s="22"/>
      <c r="E54" s="23">
        <f>B54*D54</f>
      </c>
    </row>
    <row r="55" spans="1:5" x14ac:dyDescent="0.25">
      <c r="A55" s="19" t="s">
        <v>127</v>
      </c>
      <c r="B55" s="19"/>
      <c r="C55" s="19"/>
      <c r="D55" s="19"/>
      <c r="E55" s="24">
        <f>SUM(E47:E54)</f>
      </c>
    </row>
    <row r="57" ht="22" customHeight="1" spans="1:5" x14ac:dyDescent="0.25">
      <c r="A57" s="17" t="s">
        <v>128</v>
      </c>
      <c r="B57" s="18"/>
      <c r="C57" s="18"/>
      <c r="D57" s="18"/>
      <c r="E57" s="18"/>
    </row>
    <row r="58" spans="1:5" x14ac:dyDescent="0.25">
      <c r="A58" s="20" t="s">
        <v>129</v>
      </c>
      <c r="B58" s="20"/>
      <c r="C58" s="20"/>
      <c r="D58" s="20"/>
      <c r="E58" s="23">
        <f>E22</f>
      </c>
    </row>
    <row r="59" spans="1:5" x14ac:dyDescent="0.25">
      <c r="A59" s="20" t="s">
        <v>130</v>
      </c>
      <c r="B59" s="20"/>
      <c r="C59" s="20"/>
      <c r="D59" s="20"/>
      <c r="E59" s="23">
        <f>E35</f>
      </c>
    </row>
    <row r="60" spans="1:5" x14ac:dyDescent="0.25">
      <c r="A60" s="20" t="s">
        <v>131</v>
      </c>
      <c r="B60" s="20"/>
      <c r="C60" s="20"/>
      <c r="D60" s="20"/>
      <c r="E60" s="23">
        <f>E44</f>
      </c>
    </row>
    <row r="61" spans="1:5" x14ac:dyDescent="0.25">
      <c r="A61" s="20" t="s">
        <v>132</v>
      </c>
      <c r="B61" s="20"/>
      <c r="C61" s="20"/>
      <c r="D61" s="20"/>
      <c r="E61" s="23">
        <f>E55</f>
      </c>
    </row>
    <row r="62" spans="1:5" x14ac:dyDescent="0.25">
      <c r="A62" s="19" t="s">
        <v>133</v>
      </c>
      <c r="B62" s="19"/>
      <c r="C62" s="19"/>
      <c r="D62" s="19"/>
      <c r="E62" s="24">
        <f>E58+E59+E60+E61</f>
      </c>
    </row>
    <row r="63" spans="1:5" x14ac:dyDescent="0.25">
      <c r="A63" s="25" t="s">
        <v>134</v>
      </c>
      <c r="B63" s="26">
        <v>0.1</v>
      </c>
      <c r="C63" s="20"/>
      <c r="D63" s="20"/>
      <c r="E63" s="23">
        <f>E62*B63</f>
      </c>
    </row>
    <row r="64" spans="1:5" x14ac:dyDescent="0.25">
      <c r="A64" s="25" t="s">
        <v>135</v>
      </c>
      <c r="B64" s="26">
        <v>0.15</v>
      </c>
      <c r="C64" s="20"/>
      <c r="D64" s="20"/>
      <c r="E64" s="23">
        <f>(E62+E63)*B64</f>
      </c>
    </row>
    <row r="65" ht="28" customHeight="1" spans="1:5" x14ac:dyDescent="0.25">
      <c r="A65" s="27" t="s">
        <v>136</v>
      </c>
      <c r="B65" s="28"/>
      <c r="C65" s="28"/>
      <c r="D65" s="28"/>
      <c r="E65" s="29">
        <f>E62+E63+E64</f>
      </c>
    </row>
    <row r="67" ht="22" customHeight="1" spans="1:5" x14ac:dyDescent="0.25">
      <c r="A67" s="17" t="s">
        <v>137</v>
      </c>
      <c r="B67" s="18"/>
      <c r="C67" s="18"/>
      <c r="D67" s="18"/>
      <c r="E67" s="18"/>
    </row>
    <row r="68" spans="1:5" x14ac:dyDescent="0.25">
      <c r="A68" s="30" t="s">
        <v>138</v>
      </c>
      <c r="B68" s="21"/>
      <c r="C68" s="21"/>
      <c r="D68" s="21"/>
      <c r="E68" s="21"/>
    </row>
    <row r="69" spans="1:5" x14ac:dyDescent="0.25">
      <c r="A69" s="30" t="s">
        <v>139</v>
      </c>
      <c r="B69" s="21"/>
      <c r="C69" s="21"/>
      <c r="D69" s="21"/>
      <c r="E69" s="21"/>
    </row>
    <row r="70" spans="1:5" x14ac:dyDescent="0.25">
      <c r="A70" s="30" t="s">
        <v>140</v>
      </c>
      <c r="B70" s="21"/>
      <c r="C70" s="21"/>
      <c r="D70" s="21"/>
      <c r="E70" s="21"/>
    </row>
    <row r="71" spans="1:5" x14ac:dyDescent="0.25">
      <c r="A71" s="30" t="s">
        <v>141</v>
      </c>
      <c r="B71" s="21"/>
      <c r="C71" s="21"/>
      <c r="D71" s="21"/>
      <c r="E71" s="21"/>
    </row>
    <row r="72" spans="1:5" x14ac:dyDescent="0.25">
      <c r="A72" s="30" t="s">
        <v>142</v>
      </c>
      <c r="B72" s="21"/>
      <c r="C72" s="21"/>
      <c r="D72" s="21"/>
      <c r="E72" s="21"/>
    </row>
    <row r="73" spans="1:5" x14ac:dyDescent="0.25">
      <c r="A73" s="30" t="s">
        <v>143</v>
      </c>
      <c r="B73" s="21"/>
      <c r="C73" s="21"/>
      <c r="D73" s="21"/>
      <c r="E73" s="21"/>
    </row>
    <row r="74" spans="1:5" x14ac:dyDescent="0.25">
      <c r="A74" s="30" t="s">
        <v>144</v>
      </c>
      <c r="B74" s="21"/>
      <c r="C74" s="21"/>
      <c r="D74" s="21"/>
      <c r="E74" s="21"/>
    </row>
    <row r="76" ht="22" customHeight="1" spans="1:5" x14ac:dyDescent="0.25">
      <c r="A76" s="17" t="s">
        <v>145</v>
      </c>
      <c r="B76" s="18"/>
      <c r="C76" s="18"/>
      <c r="D76" s="18"/>
      <c r="E76" s="18"/>
    </row>
    <row r="77" spans="1:5" x14ac:dyDescent="0.25">
      <c r="A77" s="31" t="s">
        <v>146</v>
      </c>
      <c r="B77" s="31"/>
      <c r="C77" s="31"/>
      <c r="D77" s="31"/>
      <c r="E77" s="31"/>
    </row>
    <row r="78" spans="1:5" x14ac:dyDescent="0.25">
      <c r="A78" s="31" t="s">
        <v>147</v>
      </c>
      <c r="B78" s="31"/>
      <c r="C78" s="31"/>
      <c r="D78" s="31"/>
      <c r="E78" s="31"/>
    </row>
    <row r="79" spans="1:5" x14ac:dyDescent="0.25">
      <c r="A79" s="31" t="s">
        <v>148</v>
      </c>
      <c r="B79" s="31"/>
      <c r="C79" s="31"/>
      <c r="D79" s="31"/>
      <c r="E79" s="31"/>
    </row>
    <row r="80" spans="1:5" x14ac:dyDescent="0.25">
      <c r="A80" s="31" t="s">
        <v>149</v>
      </c>
      <c r="B80" s="31"/>
      <c r="C80" s="31"/>
      <c r="D80" s="31"/>
      <c r="E80" s="31"/>
    </row>
    <row r="81" spans="1:5" x14ac:dyDescent="0.25">
      <c r="A81" s="31" t="s">
        <v>150</v>
      </c>
      <c r="B81" s="31"/>
      <c r="C81" s="31"/>
      <c r="D81" s="31"/>
      <c r="E81" s="31"/>
    </row>
    <row r="82" spans="1:5" x14ac:dyDescent="0.25">
      <c r="A82" s="31" t="s">
        <v>151</v>
      </c>
      <c r="B82" s="31"/>
      <c r="C82" s="31"/>
      <c r="D82" s="31"/>
      <c r="E82" s="31"/>
    </row>
    <row r="83" spans="1:5" x14ac:dyDescent="0.25">
      <c r="A83" s="31" t="s">
        <v>152</v>
      </c>
      <c r="B83" s="31"/>
      <c r="C83" s="31"/>
      <c r="D83" s="31"/>
      <c r="E83" s="31"/>
    </row>
    <row r="85" ht="22" customHeight="1" spans="1:5" x14ac:dyDescent="0.25">
      <c r="A85" s="17" t="s">
        <v>153</v>
      </c>
      <c r="B85" s="18"/>
      <c r="C85" s="18"/>
      <c r="D85" s="18"/>
      <c r="E85" s="18"/>
    </row>
    <row r="86" spans="1:5" x14ac:dyDescent="0.25">
      <c r="A86" s="19" t="s">
        <v>154</v>
      </c>
      <c r="B86" s="19" t="s">
        <v>155</v>
      </c>
      <c r="C86" s="19" t="s">
        <v>25</v>
      </c>
      <c r="D86" s="19" t="s">
        <v>156</v>
      </c>
      <c r="E86" s="19" t="s">
        <v>157</v>
      </c>
    </row>
    <row r="87" spans="1:5" x14ac:dyDescent="0.25">
      <c r="A87" s="21"/>
      <c r="B87" s="21"/>
      <c r="C87" s="20"/>
      <c r="D87" s="22"/>
      <c r="E87" s="21"/>
    </row>
    <row r="88" spans="1:5" x14ac:dyDescent="0.25">
      <c r="A88" s="21"/>
      <c r="B88" s="21"/>
      <c r="C88" s="20"/>
      <c r="D88" s="22"/>
      <c r="E88" s="21"/>
    </row>
    <row r="89" spans="1:5" x14ac:dyDescent="0.25">
      <c r="A89" s="21"/>
      <c r="B89" s="21"/>
      <c r="C89" s="20"/>
      <c r="D89" s="22"/>
      <c r="E89" s="21"/>
    </row>
    <row r="90" spans="1:5" x14ac:dyDescent="0.25">
      <c r="A90" s="21"/>
      <c r="B90" s="21"/>
      <c r="C90" s="20"/>
      <c r="D90" s="22"/>
      <c r="E90" s="21"/>
    </row>
    <row r="91" spans="1:5" x14ac:dyDescent="0.25">
      <c r="A91" s="21"/>
      <c r="B91" s="21"/>
      <c r="C91" s="20"/>
      <c r="D91" s="22"/>
      <c r="E91" s="21"/>
    </row>
    <row r="93" ht="22" customHeight="1" spans="1:5" x14ac:dyDescent="0.25">
      <c r="A93" s="17" t="s">
        <v>158</v>
      </c>
      <c r="B93" s="18"/>
      <c r="C93" s="18"/>
      <c r="D93" s="18"/>
      <c r="E93" s="18"/>
    </row>
    <row r="94" spans="1:5" x14ac:dyDescent="0.25">
      <c r="A94" s="32" t="s">
        <v>159</v>
      </c>
      <c r="B94" s="32"/>
      <c r="C94" s="32"/>
      <c r="D94" s="32"/>
      <c r="E94" s="32"/>
    </row>
    <row r="95" spans="1:5" x14ac:dyDescent="0.25">
      <c r="A95" s="32" t="s">
        <v>160</v>
      </c>
      <c r="B95" s="32"/>
      <c r="C95" s="32"/>
      <c r="D95" s="32"/>
      <c r="E95" s="32"/>
    </row>
    <row r="96" spans="1:5" x14ac:dyDescent="0.25">
      <c r="A96" s="32" t="s">
        <v>161</v>
      </c>
      <c r="B96" s="32"/>
      <c r="C96" s="32"/>
      <c r="D96" s="32"/>
      <c r="E96" s="32"/>
    </row>
    <row r="97" spans="1:5" x14ac:dyDescent="0.25">
      <c r="A97" s="32" t="s">
        <v>162</v>
      </c>
      <c r="B97" s="32"/>
      <c r="C97" s="32"/>
      <c r="D97" s="32"/>
      <c r="E97" s="32"/>
    </row>
    <row r="98" spans="1:5" x14ac:dyDescent="0.25">
      <c r="A98" s="32" t="s">
        <v>163</v>
      </c>
      <c r="B98" s="32"/>
      <c r="C98" s="32"/>
      <c r="D98" s="32"/>
      <c r="E98" s="32"/>
    </row>
    <row r="99" spans="1:5" x14ac:dyDescent="0.25">
      <c r="A99" s="32" t="s">
        <v>164</v>
      </c>
      <c r="B99" s="32"/>
      <c r="C99" s="32"/>
      <c r="D99" s="32"/>
      <c r="E99" s="32"/>
    </row>
    <row r="100" spans="1:5" x14ac:dyDescent="0.25">
      <c r="A100" s="32" t="s">
        <v>165</v>
      </c>
      <c r="B100" s="32"/>
      <c r="C100" s="32"/>
      <c r="D100" s="32"/>
      <c r="E100" s="32"/>
    </row>
    <row r="102" spans="1:1" x14ac:dyDescent="0.25">
      <c r="A102" s="33" t="s">
        <v>166</v>
      </c>
    </row>
    <row r="103" spans="1:1" x14ac:dyDescent="0.25">
      <c r="A103" t="s">
        <v>167</v>
      </c>
    </row>
    <row r="104" spans="1:1" x14ac:dyDescent="0.25">
      <c r="A104" t="s">
        <v>168</v>
      </c>
    </row>
    <row r="105" spans="1:1" x14ac:dyDescent="0.25">
      <c r="A105" t="s">
        <v>169</v>
      </c>
    </row>
    <row r="107" spans="1:1" x14ac:dyDescent="0.25">
      <c r="A107" s="14" t="s">
        <v>170</v>
      </c>
    </row>
    <row r="108" spans="1:5" x14ac:dyDescent="0.25">
      <c r="A108" t="s">
        <v>171</v>
      </c>
      <c r="B108"/>
      <c r="C108"/>
      <c r="D108"/>
      <c r="E108"/>
    </row>
    <row r="109" spans="1:5" x14ac:dyDescent="0.25">
      <c r="A109" t="s">
        <v>172</v>
      </c>
      <c r="B109"/>
      <c r="C109"/>
      <c r="D109"/>
      <c r="E109"/>
    </row>
    <row r="111" spans="1:1" x14ac:dyDescent="0.25">
      <c r="A111" t="s">
        <v>173</v>
      </c>
    </row>
    <row r="112" spans="1:1" x14ac:dyDescent="0.25">
      <c r="A112" t="s">
        <v>174</v>
      </c>
    </row>
    <row r="114" spans="1:1" x14ac:dyDescent="0.25">
      <c r="A114" s="34" t="s">
        <v>175</v>
      </c>
    </row>
  </sheetData>
  <mergeCells count="26">
    <mergeCell ref="A1:F1"/>
    <mergeCell ref="A2:F2"/>
    <mergeCell ref="A3:F3"/>
    <mergeCell ref="B68:E68"/>
    <mergeCell ref="B69:E69"/>
    <mergeCell ref="B70:E70"/>
    <mergeCell ref="B71:E71"/>
    <mergeCell ref="B72:E72"/>
    <mergeCell ref="B73:E73"/>
    <mergeCell ref="B74:E74"/>
    <mergeCell ref="A77:E77"/>
    <mergeCell ref="A78:E78"/>
    <mergeCell ref="A79:E79"/>
    <mergeCell ref="A80:E80"/>
    <mergeCell ref="A81:E81"/>
    <mergeCell ref="A82:E82"/>
    <mergeCell ref="A83:E83"/>
    <mergeCell ref="A94:E94"/>
    <mergeCell ref="A95:E95"/>
    <mergeCell ref="A96:E96"/>
    <mergeCell ref="A97:E97"/>
    <mergeCell ref="A98:E98"/>
    <mergeCell ref="A99:E99"/>
    <mergeCell ref="A100:E100"/>
    <mergeCell ref="A108:E108"/>
    <mergeCell ref="A109:E109"/>
  </mergeCells>
  <pageSetup paperSize="1" orientation="portrait" fitToWidth="1" fitToHeight="0"/>
  <headerFooter>
    <oddFooter>EstimateConcrete.com — Professional Concrete Estimating Tools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  <pageSetUpPr fitToPage="1"/>
  </sheetPr>
  <dimension ref="A1:F47"/>
  <sheetFormatPr defaultRowHeight="15" outlineLevelRow="0" outlineLevelCol="0" x14ac:dyDescent="55"/>
  <cols>
    <col min="1" max="1" width="6" customWidth="1"/>
    <col min="2" max="2" width="34" customWidth="1"/>
    <col min="3" max="3" width="14" customWidth="1"/>
    <col min="4" max="4" width="24" customWidth="1"/>
    <col min="5" max="5" width="16" customWidth="1"/>
    <col min="6" max="6" width="20" customWidth="1"/>
  </cols>
  <sheetData>
    <row r="1" ht="30" customHeight="1" spans="1:6" x14ac:dyDescent="0.25">
      <c r="A1" s="1" t="s">
        <v>176</v>
      </c>
      <c r="B1" s="1"/>
      <c r="C1" s="1"/>
      <c r="D1" s="1"/>
      <c r="E1" s="1"/>
      <c r="F1" s="1"/>
    </row>
    <row r="2" spans="1:6" x14ac:dyDescent="0.25">
      <c r="A2" s="11" t="s">
        <v>177</v>
      </c>
      <c r="B2" s="11"/>
      <c r="C2" s="11"/>
      <c r="D2" s="11"/>
      <c r="E2" s="11"/>
      <c r="F2" s="11"/>
    </row>
    <row r="4" spans="1:4" x14ac:dyDescent="0.25">
      <c r="A4" s="35" t="s">
        <v>70</v>
      </c>
      <c r="B4" s="21"/>
      <c r="C4" s="21"/>
      <c r="D4" s="21"/>
    </row>
    <row r="5" spans="1:4" x14ac:dyDescent="0.25">
      <c r="A5" s="35" t="s">
        <v>178</v>
      </c>
      <c r="B5" s="21"/>
      <c r="C5" s="35" t="s">
        <v>179</v>
      </c>
      <c r="D5" s="21"/>
    </row>
    <row r="7" ht="22" customHeight="1" spans="1:6" x14ac:dyDescent="0.25">
      <c r="A7" s="17" t="s">
        <v>180</v>
      </c>
      <c r="B7" s="18" t="s">
        <v>181</v>
      </c>
      <c r="C7" s="18" t="s">
        <v>182</v>
      </c>
      <c r="D7" s="18" t="s">
        <v>183</v>
      </c>
      <c r="E7" s="18" t="s">
        <v>184</v>
      </c>
      <c r="F7" s="18" t="s">
        <v>185</v>
      </c>
    </row>
    <row r="8" spans="1:6" x14ac:dyDescent="0.25">
      <c r="A8" s="36">
        <v>1</v>
      </c>
      <c r="B8" s="37" t="s">
        <v>186</v>
      </c>
      <c r="C8" s="21"/>
      <c r="D8" s="21"/>
      <c r="E8" s="21"/>
      <c r="F8" s="21"/>
    </row>
    <row r="9" spans="1:6" x14ac:dyDescent="0.25">
      <c r="A9" s="36">
        <v>2</v>
      </c>
      <c r="B9" s="37" t="s">
        <v>187</v>
      </c>
      <c r="C9" s="21"/>
      <c r="D9" s="21"/>
      <c r="E9" s="21"/>
      <c r="F9" s="21"/>
    </row>
    <row r="10" spans="1:6" x14ac:dyDescent="0.25">
      <c r="A10" s="36">
        <v>3</v>
      </c>
      <c r="B10" s="37" t="s">
        <v>188</v>
      </c>
      <c r="C10" s="21"/>
      <c r="D10" s="21"/>
      <c r="E10" s="21"/>
      <c r="F10" s="21"/>
    </row>
    <row r="11" spans="1:6" x14ac:dyDescent="0.25">
      <c r="A11" s="36">
        <v>4</v>
      </c>
      <c r="B11" s="37" t="s">
        <v>189</v>
      </c>
      <c r="C11" s="21"/>
      <c r="D11" s="21"/>
      <c r="E11" s="21"/>
      <c r="F11" s="21"/>
    </row>
    <row r="12" spans="1:6" x14ac:dyDescent="0.25">
      <c r="A12" s="36">
        <v>5</v>
      </c>
      <c r="B12" s="37" t="s">
        <v>190</v>
      </c>
      <c r="C12" s="21"/>
      <c r="D12" s="21"/>
      <c r="E12" s="21"/>
      <c r="F12" s="21"/>
    </row>
    <row r="13" spans="1:6" x14ac:dyDescent="0.25">
      <c r="A13" s="36">
        <v>6</v>
      </c>
      <c r="B13" s="37" t="s">
        <v>191</v>
      </c>
      <c r="C13" s="21"/>
      <c r="D13" s="21"/>
      <c r="E13" s="21"/>
      <c r="F13" s="21"/>
    </row>
    <row r="14" spans="1:6" x14ac:dyDescent="0.25">
      <c r="A14" s="36">
        <v>7</v>
      </c>
      <c r="B14" s="37" t="s">
        <v>192</v>
      </c>
      <c r="C14" s="21"/>
      <c r="D14" s="21"/>
      <c r="E14" s="21"/>
      <c r="F14" s="21"/>
    </row>
    <row r="15" spans="1:6" x14ac:dyDescent="0.25">
      <c r="A15" s="36">
        <v>8</v>
      </c>
      <c r="B15" s="37" t="s">
        <v>193</v>
      </c>
      <c r="C15" s="21"/>
      <c r="D15" s="21"/>
      <c r="E15" s="21"/>
      <c r="F15" s="21"/>
    </row>
    <row r="16" spans="1:6" x14ac:dyDescent="0.25">
      <c r="A16" s="36">
        <v>9</v>
      </c>
      <c r="B16" s="37" t="s">
        <v>194</v>
      </c>
      <c r="C16" s="21"/>
      <c r="D16" s="21"/>
      <c r="E16" s="21"/>
      <c r="F16" s="21"/>
    </row>
    <row r="17" spans="1:6" x14ac:dyDescent="0.25">
      <c r="A17" s="36">
        <v>10</v>
      </c>
      <c r="B17" s="37" t="s">
        <v>195</v>
      </c>
      <c r="C17" s="21"/>
      <c r="D17" s="21"/>
      <c r="E17" s="21"/>
      <c r="F17" s="21"/>
    </row>
    <row r="18" spans="1:6" x14ac:dyDescent="0.25">
      <c r="A18" s="36">
        <v>11</v>
      </c>
      <c r="B18" s="37" t="s">
        <v>196</v>
      </c>
      <c r="C18" s="21"/>
      <c r="D18" s="21"/>
      <c r="E18" s="21"/>
      <c r="F18" s="21"/>
    </row>
    <row r="19" spans="1:6" x14ac:dyDescent="0.25">
      <c r="A19" s="36">
        <v>12</v>
      </c>
      <c r="B19" s="37" t="s">
        <v>197</v>
      </c>
      <c r="C19" s="21"/>
      <c r="D19" s="21"/>
      <c r="E19" s="21"/>
      <c r="F19" s="21"/>
    </row>
    <row r="20" spans="1:6" x14ac:dyDescent="0.25">
      <c r="A20" s="36">
        <v>13</v>
      </c>
      <c r="B20" s="37" t="s">
        <v>198</v>
      </c>
      <c r="C20" s="21"/>
      <c r="D20" s="21"/>
      <c r="E20" s="21"/>
      <c r="F20" s="21"/>
    </row>
    <row r="21" spans="1:6" x14ac:dyDescent="0.25">
      <c r="A21" s="36">
        <v>14</v>
      </c>
      <c r="B21" s="37" t="s">
        <v>199</v>
      </c>
      <c r="C21" s="21"/>
      <c r="D21" s="21"/>
      <c r="E21" s="21"/>
      <c r="F21" s="21"/>
    </row>
    <row r="22" spans="1:6" x14ac:dyDescent="0.25">
      <c r="A22" s="36">
        <v>15</v>
      </c>
      <c r="B22" s="37" t="s">
        <v>200</v>
      </c>
      <c r="C22" s="21"/>
      <c r="D22" s="21"/>
      <c r="E22" s="21"/>
      <c r="F22" s="21"/>
    </row>
    <row r="23" spans="1:6" x14ac:dyDescent="0.25">
      <c r="A23" s="36">
        <v>16</v>
      </c>
      <c r="B23" s="37" t="s">
        <v>201</v>
      </c>
      <c r="C23" s="21"/>
      <c r="D23" s="21"/>
      <c r="E23" s="21"/>
      <c r="F23" s="21"/>
    </row>
    <row r="24" spans="1:6" x14ac:dyDescent="0.25">
      <c r="A24" s="36">
        <v>17</v>
      </c>
      <c r="B24" s="37" t="s">
        <v>202</v>
      </c>
      <c r="C24" s="21"/>
      <c r="D24" s="21"/>
      <c r="E24" s="21"/>
      <c r="F24" s="21"/>
    </row>
    <row r="26" spans="1:6" x14ac:dyDescent="0.25">
      <c r="A26" s="38" t="s">
        <v>203</v>
      </c>
      <c r="B26" s="38"/>
      <c r="C26" s="38"/>
      <c r="D26" s="38"/>
      <c r="E26" s="38"/>
      <c r="F26" s="38"/>
    </row>
    <row r="27" spans="1:6" x14ac:dyDescent="0.25">
      <c r="A27" s="19" t="s">
        <v>204</v>
      </c>
      <c r="B27" s="19" t="s">
        <v>205</v>
      </c>
      <c r="C27" s="19" t="s">
        <v>206</v>
      </c>
      <c r="D27" s="19" t="s">
        <v>207</v>
      </c>
      <c r="E27" s="19" t="s">
        <v>208</v>
      </c>
      <c r="F27" s="19" t="s">
        <v>209</v>
      </c>
    </row>
    <row r="28" spans="1:6" x14ac:dyDescent="0.25">
      <c r="A28" s="36" t="s">
        <v>210</v>
      </c>
      <c r="B28" s="39" t="s">
        <v>211</v>
      </c>
      <c r="C28" s="21"/>
      <c r="D28" s="20" t="s">
        <v>212</v>
      </c>
      <c r="E28" s="21"/>
      <c r="F28" s="21"/>
    </row>
    <row r="29" spans="1:6" x14ac:dyDescent="0.25">
      <c r="A29" s="36" t="s">
        <v>213</v>
      </c>
      <c r="B29" s="39" t="s">
        <v>214</v>
      </c>
      <c r="C29" s="21"/>
      <c r="D29" s="20" t="s">
        <v>215</v>
      </c>
      <c r="E29" s="21"/>
      <c r="F29" s="21"/>
    </row>
    <row r="30" spans="1:6" x14ac:dyDescent="0.25">
      <c r="A30" s="36" t="s">
        <v>216</v>
      </c>
      <c r="B30" s="39" t="s">
        <v>217</v>
      </c>
      <c r="C30" s="21"/>
      <c r="D30" s="20" t="s">
        <v>212</v>
      </c>
      <c r="E30" s="21"/>
      <c r="F30" s="21"/>
    </row>
    <row r="31" spans="1:6" x14ac:dyDescent="0.25">
      <c r="A31" s="36" t="s">
        <v>218</v>
      </c>
      <c r="B31" s="39" t="s">
        <v>219</v>
      </c>
      <c r="C31" s="21"/>
      <c r="D31" s="20" t="s">
        <v>220</v>
      </c>
      <c r="E31" s="21"/>
      <c r="F31" s="21"/>
    </row>
    <row r="32" spans="1:6" x14ac:dyDescent="0.25">
      <c r="A32" s="36" t="s">
        <v>221</v>
      </c>
      <c r="B32" s="39" t="s">
        <v>222</v>
      </c>
      <c r="C32" s="21"/>
      <c r="D32" s="20" t="s">
        <v>223</v>
      </c>
      <c r="E32" s="21"/>
      <c r="F32" s="21"/>
    </row>
    <row r="33" spans="1:6" x14ac:dyDescent="0.25">
      <c r="A33" s="36" t="s">
        <v>224</v>
      </c>
      <c r="B33" s="39" t="s">
        <v>225</v>
      </c>
      <c r="C33" s="21"/>
      <c r="D33" s="20" t="s">
        <v>226</v>
      </c>
      <c r="E33" s="21"/>
      <c r="F33" s="21"/>
    </row>
    <row r="34" spans="1:6" x14ac:dyDescent="0.25">
      <c r="A34" s="36" t="s">
        <v>227</v>
      </c>
      <c r="B34" s="39" t="s">
        <v>228</v>
      </c>
      <c r="C34" s="21"/>
      <c r="D34" s="20" t="s">
        <v>229</v>
      </c>
      <c r="E34" s="21"/>
      <c r="F34" s="21"/>
    </row>
    <row r="35" spans="1:6" x14ac:dyDescent="0.25">
      <c r="A35" s="36" t="s">
        <v>230</v>
      </c>
      <c r="B35" s="39" t="s">
        <v>231</v>
      </c>
      <c r="C35" s="21"/>
      <c r="D35" s="20" t="s">
        <v>232</v>
      </c>
      <c r="E35" s="21"/>
      <c r="F35" s="21"/>
    </row>
    <row r="36" spans="1:6" x14ac:dyDescent="0.25">
      <c r="A36" s="36" t="s">
        <v>233</v>
      </c>
      <c r="B36" s="39" t="s">
        <v>234</v>
      </c>
      <c r="C36" s="21"/>
      <c r="D36" s="20" t="s">
        <v>235</v>
      </c>
      <c r="E36" s="21"/>
      <c r="F36" s="21"/>
    </row>
    <row r="37" spans="1:6" x14ac:dyDescent="0.25">
      <c r="A37" s="36" t="s">
        <v>236</v>
      </c>
      <c r="B37" s="39" t="s">
        <v>237</v>
      </c>
      <c r="C37" s="21"/>
      <c r="D37" s="20" t="s">
        <v>238</v>
      </c>
      <c r="E37" s="21"/>
      <c r="F37" s="21"/>
    </row>
    <row r="38" spans="1:6" x14ac:dyDescent="0.25">
      <c r="A38" s="36">
        <v>11</v>
      </c>
      <c r="B38" s="21"/>
      <c r="C38" s="21"/>
      <c r="D38" s="21"/>
      <c r="E38" s="21"/>
      <c r="F38" s="21"/>
    </row>
    <row r="39" spans="1:6" x14ac:dyDescent="0.25">
      <c r="A39" s="36">
        <v>12</v>
      </c>
      <c r="B39" s="21"/>
      <c r="C39" s="21"/>
      <c r="D39" s="21"/>
      <c r="E39" s="21"/>
      <c r="F39" s="21"/>
    </row>
    <row r="40" spans="1:6" x14ac:dyDescent="0.25">
      <c r="A40" s="36">
        <v>13</v>
      </c>
      <c r="B40" s="21"/>
      <c r="C40" s="21"/>
      <c r="D40" s="21"/>
      <c r="E40" s="21"/>
      <c r="F40" s="21"/>
    </row>
    <row r="41" spans="1:6" x14ac:dyDescent="0.25">
      <c r="A41" s="36">
        <v>14</v>
      </c>
      <c r="B41" s="21"/>
      <c r="C41" s="21"/>
      <c r="D41" s="21"/>
      <c r="E41" s="21"/>
      <c r="F41" s="21"/>
    </row>
    <row r="42" spans="1:6" x14ac:dyDescent="0.25">
      <c r="A42" s="36">
        <v>15</v>
      </c>
      <c r="B42" s="21"/>
      <c r="C42" s="21"/>
      <c r="D42" s="21"/>
      <c r="E42" s="21"/>
      <c r="F42" s="21"/>
    </row>
    <row r="44" spans="1:6" x14ac:dyDescent="0.25">
      <c r="A44" s="33" t="s">
        <v>239</v>
      </c>
      <c r="B44" s="33"/>
      <c r="C44" s="33"/>
      <c r="D44" s="33"/>
      <c r="E44" s="33"/>
      <c r="F44" s="33"/>
    </row>
    <row r="45" spans="1:6" x14ac:dyDescent="0.25">
      <c r="A45" s="40"/>
      <c r="B45" s="40"/>
      <c r="C45" s="40"/>
      <c r="D45" s="40"/>
      <c r="E45" s="40"/>
      <c r="F45" s="40"/>
    </row>
    <row r="46" spans="1:6" x14ac:dyDescent="0.25">
      <c r="A46" s="40"/>
      <c r="B46" s="40"/>
      <c r="C46" s="40"/>
      <c r="D46" s="40"/>
      <c r="E46" s="40"/>
      <c r="F46" s="40"/>
    </row>
    <row r="47" spans="1:6" x14ac:dyDescent="0.25">
      <c r="A47" s="40"/>
      <c r="B47" s="40"/>
      <c r="C47" s="40"/>
      <c r="D47" s="40"/>
      <c r="E47" s="40"/>
      <c r="F47" s="40"/>
    </row>
  </sheetData>
  <mergeCells count="6">
    <mergeCell ref="A1:F1"/>
    <mergeCell ref="A2:F2"/>
    <mergeCell ref="B4:D4"/>
    <mergeCell ref="A26:F26"/>
    <mergeCell ref="A44:F44"/>
    <mergeCell ref="A45:F47"/>
  </mergeCells>
  <dataValidations count="2">
    <dataValidation type="list" allowBlank="1" sqref="C10:C24">
      <formula1>"✅ OK,⚠️ Issue,❌ Problem,N/A"</formula1>
    </dataValidation>
    <dataValidation type="list" allowBlank="1" sqref="C8:C24">
      <formula1>"✅ OK,⚠️ Issue,❌ Problem,N/A"</formula1>
    </dataValidation>
  </dataValidations>
  <pageSetup paperSize="1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ECACA"/>
    <pageSetUpPr fitToPage="1"/>
  </sheetPr>
  <dimension ref="A1:F23"/>
  <sheetFormatPr defaultRowHeight="15" outlineLevelRow="0" outlineLevelCol="0" x14ac:dyDescent="55"/>
  <cols>
    <col min="1" max="1" width="6" customWidth="1"/>
    <col min="2" max="2" width="30" customWidth="1"/>
    <col min="3" max="3" width="14" customWidth="1"/>
    <col min="4" max="4" width="16" customWidth="1"/>
    <col min="5" max="5" width="14" customWidth="1"/>
    <col min="6" max="6" width="20" customWidth="1"/>
  </cols>
  <sheetData>
    <row r="1" ht="28" customHeight="1" spans="1:6" x14ac:dyDescent="0.25">
      <c r="A1" s="13" t="s">
        <v>240</v>
      </c>
      <c r="B1" s="13"/>
      <c r="C1" s="13"/>
      <c r="D1" s="13"/>
      <c r="E1" s="13"/>
      <c r="F1" s="13"/>
    </row>
    <row r="2" spans="1:6" x14ac:dyDescent="0.25">
      <c r="A2" s="11" t="s">
        <v>241</v>
      </c>
      <c r="B2" s="11"/>
      <c r="C2" s="11"/>
      <c r="D2" s="11"/>
      <c r="E2" s="11"/>
      <c r="F2" s="11"/>
    </row>
    <row r="3" spans="1:5" x14ac:dyDescent="0.25">
      <c r="A3" s="35" t="s">
        <v>242</v>
      </c>
      <c r="B3" s="16"/>
      <c r="D3" s="35" t="s">
        <v>243</v>
      </c>
      <c r="E3" s="41"/>
    </row>
    <row r="5" ht="22" customHeight="1" spans="1:6" x14ac:dyDescent="0.25">
      <c r="A5" s="17" t="s">
        <v>180</v>
      </c>
      <c r="B5" s="18" t="s">
        <v>244</v>
      </c>
      <c r="C5" s="18" t="s">
        <v>245</v>
      </c>
      <c r="D5" s="18" t="s">
        <v>246</v>
      </c>
      <c r="E5" s="18" t="s">
        <v>209</v>
      </c>
      <c r="F5" s="18" t="s">
        <v>182</v>
      </c>
    </row>
    <row r="6" spans="1:6" x14ac:dyDescent="0.25">
      <c r="A6" s="36">
        <v>1</v>
      </c>
      <c r="B6" s="21"/>
      <c r="C6" s="22"/>
      <c r="D6" s="21"/>
      <c r="E6" s="21"/>
      <c r="F6" s="21"/>
    </row>
    <row r="7" spans="1:6" x14ac:dyDescent="0.25">
      <c r="A7" s="36">
        <v>2</v>
      </c>
      <c r="B7" s="21"/>
      <c r="C7" s="22"/>
      <c r="D7" s="21"/>
      <c r="E7" s="21"/>
      <c r="F7" s="21"/>
    </row>
    <row r="8" spans="1:6" x14ac:dyDescent="0.25">
      <c r="A8" s="36">
        <v>3</v>
      </c>
      <c r="B8" s="21"/>
      <c r="C8" s="22"/>
      <c r="D8" s="21"/>
      <c r="E8" s="21"/>
      <c r="F8" s="21"/>
    </row>
    <row r="9" spans="1:6" x14ac:dyDescent="0.25">
      <c r="A9" s="36">
        <v>4</v>
      </c>
      <c r="B9" s="21"/>
      <c r="C9" s="22"/>
      <c r="D9" s="21"/>
      <c r="E9" s="21"/>
      <c r="F9" s="21"/>
    </row>
    <row r="10" spans="1:6" x14ac:dyDescent="0.25">
      <c r="A10" s="36">
        <v>5</v>
      </c>
      <c r="B10" s="21"/>
      <c r="C10" s="22"/>
      <c r="D10" s="21"/>
      <c r="E10" s="21"/>
      <c r="F10" s="21"/>
    </row>
    <row r="11" spans="1:6" x14ac:dyDescent="0.25">
      <c r="A11" s="36">
        <v>6</v>
      </c>
      <c r="B11" s="21"/>
      <c r="C11" s="22"/>
      <c r="D11" s="21"/>
      <c r="E11" s="21"/>
      <c r="F11" s="21"/>
    </row>
    <row r="12" spans="1:6" x14ac:dyDescent="0.25">
      <c r="A12" s="36">
        <v>7</v>
      </c>
      <c r="B12" s="21"/>
      <c r="C12" s="22"/>
      <c r="D12" s="21"/>
      <c r="E12" s="21"/>
      <c r="F12" s="21"/>
    </row>
    <row r="13" spans="1:6" x14ac:dyDescent="0.25">
      <c r="A13" s="36">
        <v>8</v>
      </c>
      <c r="B13" s="21"/>
      <c r="C13" s="22"/>
      <c r="D13" s="21"/>
      <c r="E13" s="21"/>
      <c r="F13" s="21"/>
    </row>
    <row r="14" spans="1:6" x14ac:dyDescent="0.25">
      <c r="A14" s="36">
        <v>9</v>
      </c>
      <c r="B14" s="21"/>
      <c r="C14" s="22"/>
      <c r="D14" s="21"/>
      <c r="E14" s="21"/>
      <c r="F14" s="21"/>
    </row>
    <row r="15" spans="1:6" x14ac:dyDescent="0.25">
      <c r="A15" s="36">
        <v>10</v>
      </c>
      <c r="B15" s="21"/>
      <c r="C15" s="22"/>
      <c r="D15" s="21"/>
      <c r="E15" s="21"/>
      <c r="F15" s="21"/>
    </row>
    <row r="16" spans="1:6" x14ac:dyDescent="0.25">
      <c r="A16" s="36">
        <v>11</v>
      </c>
      <c r="B16" s="21"/>
      <c r="C16" s="22"/>
      <c r="D16" s="21"/>
      <c r="E16" s="21"/>
      <c r="F16" s="21"/>
    </row>
    <row r="17" spans="1:6" x14ac:dyDescent="0.25">
      <c r="A17" s="36">
        <v>12</v>
      </c>
      <c r="B17" s="21"/>
      <c r="C17" s="22"/>
      <c r="D17" s="21"/>
      <c r="E17" s="21"/>
      <c r="F17" s="21"/>
    </row>
    <row r="18" spans="1:6" x14ac:dyDescent="0.25">
      <c r="A18" s="36">
        <v>13</v>
      </c>
      <c r="B18" s="21"/>
      <c r="C18" s="22"/>
      <c r="D18" s="21"/>
      <c r="E18" s="21"/>
      <c r="F18" s="21"/>
    </row>
    <row r="19" spans="1:6" x14ac:dyDescent="0.25">
      <c r="A19" s="36">
        <v>14</v>
      </c>
      <c r="B19" s="21"/>
      <c r="C19" s="22"/>
      <c r="D19" s="21"/>
      <c r="E19" s="21"/>
      <c r="F19" s="21"/>
    </row>
    <row r="20" spans="1:6" x14ac:dyDescent="0.25">
      <c r="A20" s="36">
        <v>15</v>
      </c>
      <c r="B20" s="21"/>
      <c r="C20" s="22"/>
      <c r="D20" s="21"/>
      <c r="E20" s="21"/>
      <c r="F20" s="21"/>
    </row>
    <row r="21" spans="1:6" x14ac:dyDescent="0.25">
      <c r="A21" s="19"/>
      <c r="B21" s="19" t="s">
        <v>247</v>
      </c>
      <c r="C21" s="24">
        <f>SUM(C6:C20)</f>
      </c>
      <c r="D21" s="19"/>
      <c r="E21" s="19"/>
      <c r="F21" s="19"/>
    </row>
    <row r="23" spans="2:3" x14ac:dyDescent="0.25">
      <c r="B23" s="33" t="s">
        <v>248</v>
      </c>
      <c r="C23" s="42">
        <f>E3+C21</f>
      </c>
    </row>
  </sheetData>
  <mergeCells count="2">
    <mergeCell ref="A1:F1"/>
    <mergeCell ref="A2:F2"/>
  </mergeCells>
  <dataValidations count="2">
    <dataValidation type="list" allowBlank="1" sqref="F10:F20">
      <formula1>"Pending,Approved,Rejected,Completed"</formula1>
    </dataValidation>
    <dataValidation type="list" allowBlank="1" sqref="F6:F20">
      <formula1>"Pending,Approved,Rejected,Completed"</formula1>
    </dataValidation>
  </dataValidations>
  <pageSetup paperSize="1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📋 How to Use</vt:lpstr>
      <vt:lpstr>Estimate</vt:lpstr>
      <vt:lpstr>📍 Site Conditions</vt:lpstr>
      <vt:lpstr>Change Order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EstimateConcrete.com</dc:creator>
  <dc:title/>
  <dc:subject/>
  <dc:description/>
  <cp:keywords/>
  <cp:category/>
  <cp:lastModifiedBy>Unknown</cp:lastModifiedBy>
  <dcterms:created xsi:type="dcterms:W3CDTF">2026-03-08T17:50:24Z</dcterms:created>
  <dcterms:modified xsi:type="dcterms:W3CDTF">2026-03-08T17:50:24Z</dcterms:modified>
</cp:coreProperties>
</file>