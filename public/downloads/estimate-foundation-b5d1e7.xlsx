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📝 Change Orders" state="visible" r:id="rId6"/>
    <sheet sheetId="4" name="📍 Site Conditions" state="visible" r:id="rId7"/>
  </sheets>
  <calcPr calcId="171027"/>
</workbook>
</file>

<file path=xl/sharedStrings.xml><?xml version="1.0" encoding="utf-8"?>
<sst xmlns="http://schemas.openxmlformats.org/spreadsheetml/2006/main" count="289" uniqueCount="263">
  <si>
    <t>📋 HOW TO USE: Foundation &amp; Footings Estimate</t>
  </si>
  <si>
    <t>ABOUT THIS TEMPLATE</t>
  </si>
  <si>
    <t>Complete foundation and footing estimate including excavation, forming, rebar, pour, waterproofing, and drain tile. Covers residential footings, foundation walls, and basement construction.</t>
  </si>
  <si>
    <t>STEP-BY-STEP INSTRUCTIONS</t>
  </si>
  <si>
    <t>1.</t>
  </si>
  <si>
    <t>Fill in company and client information</t>
  </si>
  <si>
    <t>2.</t>
  </si>
  <si>
    <t>Verify concrete PSI requirement with structural engineer (typically 3500-4500 PSI for foundations)</t>
  </si>
  <si>
    <t>3.</t>
  </si>
  <si>
    <t>Calculate concrete yards based on footing/wall dimensions</t>
  </si>
  <si>
    <t>4.</t>
  </si>
  <si>
    <t>Verify rebar schedule against structural drawings</t>
  </si>
  <si>
    <t>5.</t>
  </si>
  <si>
    <t>Check frost depth requirement for your area (see warranty notes)</t>
  </si>
  <si>
    <t>6.</t>
  </si>
  <si>
    <t>Include waterproofing if foundation walls will be below grade</t>
  </si>
  <si>
    <t>7.</t>
  </si>
  <si>
    <t>Include drain tile for any basement or below-grade construction</t>
  </si>
  <si>
    <t>8.</t>
  </si>
  <si>
    <t>Price out project-specific options based on site conditions</t>
  </si>
  <si>
    <t>9.</t>
  </si>
  <si>
    <t>Set overhead and profit margins</t>
  </si>
  <si>
    <t>10.</t>
  </si>
  <si>
    <t>Have structural engineer approve the scope before presenting to client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</si>
  <si>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</si>
  <si>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</si>
  <si>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</si>
  <si>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</si>
  <si>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Foundation work has the HIGHEST change order rate. Always include a 15% contingency for unexpected soil conditions</t>
  </si>
  <si>
    <t xml:space="preserve">  💡 Get the soils report BEFORE quoting. If client won't pay, add $2,000 for risk — you'll need it when you hit rock</t>
  </si>
  <si>
    <t xml:space="preserve">  💡 Waterproofing is a profit center — tar costs $0.30/SF, spray-on rubber $1.25/SF. Charge the premium</t>
  </si>
  <si>
    <t xml:space="preserve">  💡 Always photograph rebar placement before the pour. This is insurance if there's ever a structural claim</t>
  </si>
  <si>
    <t xml:space="preserve">  💡 Stepped footings on slopes add $200-$400 per step. Price every step individually — they take more forming time than expected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</si>
  <si>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</si>
  <si>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</si>
  <si>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</si>
  <si>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</si>
  <si>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</si>
  <si>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</si>
  <si>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</si>
  <si>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</si>
  <si>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</si>
  <si>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</si>
  <si>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</si>
  <si>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FOUNDATION &amp; FOOTINGS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</si>
  <si>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</si>
  <si>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</si>
  <si>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</si>
  <si>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</si>
  <si>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</si>
  <si>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</si>
  <si>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</si>
  <si>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</si>
  <si>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</si>
  <si>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</si>
  <si>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</si>
  <si>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</si>
  <si>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</si>
  <si>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</si>
  <si>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</si>
  <si>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</si>
  <si>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</si>
  <si>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</si>
  <si>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</si>
  <si>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4500 PSI)</t>
  </si>
  <si>
    <t>CY</t>
  </si>
  <si>
    <t>Rebar (#5 bar)</t>
  </si>
  <si>
    <t>LF</t>
  </si>
  <si>
    <t>Foundation forms (rental)</t>
  </si>
  <si>
    <t>Lot</t>
  </si>
  <si>
    <t>Anchor bolts (1/2" × 10")</t>
  </si>
  <si>
    <t>EA</t>
  </si>
  <si>
    <t>Waterproofing membrane</t>
  </si>
  <si>
    <t>SF</t>
  </si>
  <si>
    <t>Drain tile (4")</t>
  </si>
  <si>
    <t>Gravel (drainage)</t>
  </si>
  <si>
    <t>Tons</t>
  </si>
  <si>
    <t>Vapor barrier</t>
  </si>
  <si>
    <t>Snap ties &amp; hardware</t>
  </si>
  <si>
    <t>Form release agent</t>
  </si>
  <si>
    <t>Gal</t>
  </si>
  <si>
    <t>Materials Subtotal</t>
  </si>
  <si>
    <t>LABOR</t>
  </si>
  <si>
    <t>Hours</t>
  </si>
  <si>
    <t>Rate</t>
  </si>
  <si>
    <t>Rate ($/hr)</t>
  </si>
  <si>
    <t>Excavation layout &amp; grading</t>
  </si>
  <si>
    <t>Footing forming</t>
  </si>
  <si>
    <t>Rebar tying</t>
  </si>
  <si>
    <t>Footing pour &amp; finish</t>
  </si>
  <si>
    <t>Wall form setup</t>
  </si>
  <si>
    <t>Wall pour</t>
  </si>
  <si>
    <t>Form stripping &amp; cleanup</t>
  </si>
  <si>
    <t>Waterproofing application</t>
  </si>
  <si>
    <t>Drain tile installation</t>
  </si>
  <si>
    <t>Backfill coordination</t>
  </si>
  <si>
    <t>Labor Subtotal</t>
  </si>
  <si>
    <t>EQUIPMENT</t>
  </si>
  <si>
    <t>Price</t>
  </si>
  <si>
    <t>Excavator</t>
  </si>
  <si>
    <t>Days</t>
  </si>
  <si>
    <t>Concrete pump</t>
  </si>
  <si>
    <t>Pours</t>
  </si>
  <si>
    <t>Concrete vibrator</t>
  </si>
  <si>
    <t>Transit / laser level</t>
  </si>
  <si>
    <t>Day</t>
  </si>
  <si>
    <t>Mobilization</t>
  </si>
  <si>
    <t>Trip</t>
  </si>
  <si>
    <t>Equipment Subtotal</t>
  </si>
  <si>
    <t>PROJECT-SPECIFIC OPTIONS</t>
  </si>
  <si>
    <t>Frost depth upgrade — deeper footings (per LF additional depth)</t>
  </si>
  <si>
    <t>Stepped footings for sloped site (per step)</t>
  </si>
  <si>
    <t>Rebar schedule upgrade (#5 to #6 bar)</t>
  </si>
  <si>
    <t>Waterproofing upgrade (spray-on rubber vs. tar)</t>
  </si>
  <si>
    <t>Interior drain tile system</t>
  </si>
  <si>
    <t>Sump pit and pump installation</t>
  </si>
  <si>
    <t>Window well installation (each)</t>
  </si>
  <si>
    <t>Beam pocket / steel beam support</t>
  </si>
  <si>
    <t>Radon mitigation pipe (rough-in)</t>
  </si>
  <si>
    <t>ICF (Insulated Concrete Form) upgrade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</si>
  <si>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</si>
  <si>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</si>
  <si>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</si>
  <si>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</si>
  <si>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</si>
  <si>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</si>
  <si>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</si>
  <si>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</si>
  <si>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</si>
  <si>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</si>
  <si>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</si>
  <si>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Soil boring / geotechnical report available?</t>
  </si>
  <si>
    <t>☐ Frost depth for your region (check local code)</t>
  </si>
  <si>
    <t>☐ Water table depth</t>
  </si>
  <si>
    <t>☐ Rock encountered during excavation?</t>
  </si>
  <si>
    <t>☐ Access for excavator and concrete trucks</t>
  </si>
  <si>
    <t>☐ Site survey / pin locations confirmed</t>
  </si>
  <si>
    <t>☐ Setback requirements verified</t>
  </si>
  <si>
    <t>☐ Underground utilities located and marked</t>
  </si>
  <si>
    <t>☐ Dewatering needed for excavation?</t>
  </si>
  <si>
    <t>SCOPE EXCLUSIONS (Not Included)</t>
  </si>
  <si>
    <t>✗ Building permits and engineering</t>
  </si>
  <si>
    <t>✗ Soil testing / geotechnical report</t>
  </si>
  <si>
    <t>✗ Surveying and staking</t>
  </si>
  <si>
    <t>✗ Dewatering (if water table is high)</t>
  </si>
  <si>
    <t>✗ Rock removal (if rock is encountered)</t>
  </si>
  <si>
    <t>✗ Backfill (typically by excavation contractor)</t>
  </si>
  <si>
    <t>✗ Basement slab (separate estimate)</t>
  </si>
  <si>
    <t>✗ Structural engineering and stamped drawings</t>
  </si>
  <si>
    <t>✗ Utility connections (water, sewer, gas, electric)</t>
  </si>
  <si>
    <t>CHANGE ORDERS</t>
  </si>
  <si>
    <t>Change Description</t>
  </si>
  <si>
    <t>Add/Remove</t>
  </si>
  <si>
    <t/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</si>
  <si>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</si>
  <si>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</si>
  <si>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</si>
  <si>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</si>
  <si>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cracking, water intrusion through workmanship defects, settling.</t>
  </si>
  <si>
    <t>Warranty does NOT cover: settling due to soil conditions not identified in soils report,</t>
  </si>
  <si>
    <t xml:space="preserve">  lateral pressure damage, water intrusion from above-grade sources, acts of nature.</t>
  </si>
  <si>
    <t>FROST DEPTH REFERENCE BY REGION:</t>
  </si>
  <si>
    <t xml:space="preserve">  • Southern states (FL, TX, LA): 0-12 inches</t>
  </si>
  <si>
    <t xml:space="preserve">  • Mid-Atlantic (VA, NC, TN): 18-24 inches</t>
  </si>
  <si>
    <t xml:space="preserve">  • Midwest (OH, IL, IN): 36-42 inches</t>
  </si>
  <si>
    <t xml:space="preserve">  • Northern states (MN, WI, MI): 42-60 inches</t>
  </si>
  <si>
    <t xml:space="preserve">  • Mountain/high altitude: 36-48+ inches</t>
  </si>
  <si>
    <t xml:space="preserve">  • Always verify with local building code for exact requirements</t>
  </si>
  <si>
    <t>REBAR SCHEDULE: Footings typically require #4 or #5 rebar per engineering. Verify with your structural plans.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</si>
  <si>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</si>
  <si>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</si>
  <si>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</si>
  <si>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</si>
  <si>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</si>
  <si>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</si>
  <si>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</si>
  <si>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</si>
  <si>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</si>
  <si>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</si>
  <si>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📝 CHANGE ORDER LOG</t>
  </si>
  <si>
    <t>Track all scope changes, approvals, and cost impacts. Every change must be documented before work begins.</t>
  </si>
  <si>
    <t>Project:</t>
  </si>
  <si>
    <t>Original Contract $:</t>
  </si>
  <si>
    <t>Client:</t>
  </si>
  <si>
    <t>CO #</t>
  </si>
  <si>
    <t>Description of Change</t>
  </si>
  <si>
    <t>Added Cost</t>
  </si>
  <si>
    <t>Approval Date</t>
  </si>
  <si>
    <t>Notes</t>
  </si>
  <si>
    <t>Status</t>
  </si>
  <si>
    <t>Running Total</t>
  </si>
  <si>
    <t>TOTAL CHANGE ORDERS</t>
  </si>
  <si>
    <t>ORIGINAL CONTRACT AMOUNT</t>
  </si>
  <si>
    <t>REVISED CONTRACT TOTAL</t>
  </si>
  <si>
    <t>SUMMARY BY STATUS</t>
  </si>
  <si>
    <t>Pending</t>
  </si>
  <si>
    <t>Approved</t>
  </si>
  <si>
    <t>Rejected</t>
  </si>
  <si>
    <t>Completed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</si>
  <si>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</si>
  <si>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</si>
  <si>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</si>
  <si>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</si>
  <si>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</si>
  <si>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</si>
  <si>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</si>
  <si>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</si>
  <si>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</si>
  <si>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</si>
  <si>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</si>
  <si>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</si>
  <si>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</si>
  <si>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</si>
  <si>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</si>
  <si>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</si>
  <si>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</si>
  <si>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</si>
  <si>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</si>
  <si>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Soil boring / geotechnical report available?</t>
  </si>
  <si>
    <t>Frost depth for your region (check local code)</t>
  </si>
  <si>
    <t>Water table depth</t>
  </si>
  <si>
    <t>Rock encountered during excavation?</t>
  </si>
  <si>
    <t>Access for excavator and concrete trucks</t>
  </si>
  <si>
    <t>Site survey / pin locations confirmed</t>
  </si>
  <si>
    <t>Setback requirements verified</t>
  </si>
  <si>
    <t>Underground utilities located and marked</t>
  </si>
  <si>
    <t>Dewatering needed for excavation?</t>
  </si>
  <si>
    <t>📸 SITE PHOTO LOG</t>
  </si>
  <si>
    <t>Photo #</t>
  </si>
  <si>
    <t>Description / Location</t>
  </si>
  <si>
    <t>Direction</t>
  </si>
  <si>
    <t>Purpose</t>
  </si>
  <si>
    <t>File Name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</si>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</sst>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b/>
      <sz val="12"/>
    </font>
    <font>
      <i/>
      <color rgb="FF94A3B8"/>
      <sz val="10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20" fillId="5" borderId="1" xfId="0" applyFont="1" applyFill="1" applyBorder="1"/>
    <xf numFmtId="164" fontId="20" fillId="5" borderId="1" xfId="0" applyNumberFormat="1" applyFont="1" applyFill="1" applyBorder="1"/>
    <xf numFmtId="0" fontId="18" fillId="5" borderId="0" xfId="0" applyFont="1" applyFill="1"/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1" fillId="0" borderId="1" xfId="0" applyFont="1" applyBorder="1"/>
    <xf numFmtId="0" fontId="0" fillId="2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8" t="s">
        <v>27</v>
      </c>
      <c r="B22" s="8"/>
    </row>
    <row r="23" ht="28" customHeight="1" spans="1:2" x14ac:dyDescent="0.25">
      <c r="A23" s="3" t="s">
        <v>28</v>
      </c>
      <c r="B23" s="3"/>
    </row>
    <row r="24" ht="28" customHeight="1" spans="1:2" x14ac:dyDescent="0.25">
      <c r="A24" s="3" t="s">
        <v>29</v>
      </c>
      <c r="B24" s="3"/>
    </row>
    <row r="25" ht="28" customHeight="1" spans="1:2" x14ac:dyDescent="0.25">
      <c r="A25" s="3" t="s">
        <v>30</v>
      </c>
      <c r="B25" s="3"/>
    </row>
    <row r="26" ht="28" customHeight="1" spans="1:2" x14ac:dyDescent="0.25">
      <c r="A26" s="3" t="s">
        <v>31</v>
      </c>
      <c r="B26" s="3"/>
    </row>
    <row r="27" ht="28" customHeight="1" spans="1:2" x14ac:dyDescent="0.25">
      <c r="A27" s="3" t="s">
        <v>32</v>
      </c>
      <c r="B27" s="3"/>
    </row>
    <row r="29" spans="1:2" x14ac:dyDescent="0.25">
      <c r="A29" s="2" t="s">
        <v>33</v>
      </c>
      <c r="B29" s="2"/>
    </row>
    <row r="30" spans="1:2" x14ac:dyDescent="0.25">
      <c r="A30" s="9" t="s">
        <v>34</v>
      </c>
      <c r="B30" s="9"/>
    </row>
    <row r="31" spans="1:2" x14ac:dyDescent="0.25">
      <c r="A31" s="9" t="s">
        <v>35</v>
      </c>
      <c r="B31" s="9"/>
    </row>
    <row r="32" spans="1:2" x14ac:dyDescent="0.25">
      <c r="A32" s="9" t="s">
        <v>36</v>
      </c>
      <c r="B32" s="9"/>
    </row>
    <row r="33" spans="1:2" x14ac:dyDescent="0.25">
      <c r="A33" s="9" t="s">
        <v>37</v>
      </c>
      <c r="B33" s="9"/>
    </row>
    <row r="34" spans="1:2" x14ac:dyDescent="0.25">
      <c r="A34" s="9" t="s">
        <v>38</v>
      </c>
      <c r="B34" s="9"/>
    </row>
    <row r="35" spans="1:2" x14ac:dyDescent="0.25">
      <c r="A35" s="9" t="s">
        <v>39</v>
      </c>
      <c r="B35" s="9"/>
    </row>
    <row r="37" spans="1:2" x14ac:dyDescent="0.25">
      <c r="A37" s="10" t="s">
        <v>40</v>
      </c>
      <c r="B37" s="10"/>
    </row>
    <row r="38" spans="1:2" x14ac:dyDescent="0.25">
      <c r="A38" s="11" t="s">
        <v>41</v>
      </c>
      <c r="B38" s="11"/>
    </row>
  </sheetData>
  <mergeCells count="22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9:B29"/>
    <mergeCell ref="A30:B30"/>
    <mergeCell ref="A31:B31"/>
    <mergeCell ref="A32:B32"/>
    <mergeCell ref="A33:B33"/>
    <mergeCell ref="A34:B34"/>
    <mergeCell ref="A35:B35"/>
    <mergeCell ref="A37:B37"/>
    <mergeCell ref="A38:B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42</v>
      </c>
      <c r="B1" s="12"/>
      <c r="C1" s="12"/>
      <c r="D1" s="12"/>
      <c r="E1" s="12"/>
      <c r="F1" s="12"/>
    </row>
    <row r="2" spans="1:6" x14ac:dyDescent="0.25">
      <c r="A2" s="11" t="s">
        <v>43</v>
      </c>
      <c r="B2" s="11"/>
      <c r="C2" s="11"/>
      <c r="D2" s="11"/>
      <c r="E2" s="11"/>
      <c r="F2" s="11"/>
    </row>
    <row r="3" ht="25" customHeight="1" spans="1:6" x14ac:dyDescent="0.25">
      <c r="A3" s="13" t="s">
        <v>44</v>
      </c>
      <c r="B3" s="13"/>
      <c r="C3" s="13"/>
      <c r="D3" s="13"/>
      <c r="E3" s="13"/>
      <c r="F3" s="13"/>
    </row>
    <row r="4" spans="1:5" x14ac:dyDescent="0.25">
      <c r="A4" s="14" t="s">
        <v>45</v>
      </c>
      <c r="B4" t="s">
        <v>46</v>
      </c>
      <c r="D4" s="14" t="s">
        <v>47</v>
      </c>
      <c r="E4" t="s">
        <v>48</v>
      </c>
    </row>
    <row r="6" spans="1:1" x14ac:dyDescent="0.25">
      <c r="A6" s="15" t="s">
        <v>49</v>
      </c>
    </row>
    <row r="7" spans="1:2" x14ac:dyDescent="0.25">
      <c r="A7" s="14" t="s">
        <v>50</v>
      </c>
      <c r="B7" s="16" t="s">
        <v>51</v>
      </c>
    </row>
    <row r="8" spans="1:2" x14ac:dyDescent="0.25">
      <c r="A8" s="14" t="s">
        <v>52</v>
      </c>
      <c r="B8" s="16" t="s">
        <v>53</v>
      </c>
    </row>
    <row r="9" spans="1:2" x14ac:dyDescent="0.25">
      <c r="A9" s="14" t="s">
        <v>54</v>
      </c>
      <c r="B9" s="16" t="s">
        <v>55</v>
      </c>
    </row>
    <row r="10" spans="1:2" x14ac:dyDescent="0.25">
      <c r="A10" s="14" t="s">
        <v>56</v>
      </c>
      <c r="B10" s="16" t="s">
        <v>57</v>
      </c>
    </row>
    <row r="12" ht="22" customHeight="1" spans="1:5" x14ac:dyDescent="0.25">
      <c r="A12" s="17" t="s">
        <v>58</v>
      </c>
      <c r="B12" s="18" t="s">
        <v>59</v>
      </c>
      <c r="C12" s="18" t="s">
        <v>60</v>
      </c>
      <c r="D12" s="18" t="s">
        <v>61</v>
      </c>
      <c r="E12" s="18" t="s">
        <v>62</v>
      </c>
    </row>
    <row r="13" spans="1:5" x14ac:dyDescent="0.25">
      <c r="A13" s="19" t="s">
        <v>63</v>
      </c>
      <c r="B13" s="19" t="s">
        <v>59</v>
      </c>
      <c r="C13" s="19" t="s">
        <v>60</v>
      </c>
      <c r="D13" s="19" t="s">
        <v>61</v>
      </c>
      <c r="E13" s="19" t="s">
        <v>62</v>
      </c>
    </row>
    <row r="14" spans="1:5" x14ac:dyDescent="0.25">
      <c r="A14" s="20" t="s">
        <v>64</v>
      </c>
      <c r="B14" s="21">
        <v>25</v>
      </c>
      <c r="C14" s="20" t="s">
        <v>65</v>
      </c>
      <c r="D14" s="22">
        <v>165</v>
      </c>
      <c r="E14" s="23">
        <f>B14*D14</f>
      </c>
    </row>
    <row r="15" spans="1:5" x14ac:dyDescent="0.25">
      <c r="A15" s="20" t="s">
        <v>66</v>
      </c>
      <c r="B15" s="21">
        <v>800</v>
      </c>
      <c r="C15" s="20" t="s">
        <v>67</v>
      </c>
      <c r="D15" s="22">
        <v>1.1</v>
      </c>
      <c r="E15" s="23">
        <f>B15*D15</f>
      </c>
    </row>
    <row r="16" spans="1:5" x14ac:dyDescent="0.25">
      <c r="A16" s="20" t="s">
        <v>68</v>
      </c>
      <c r="B16" s="21">
        <v>1</v>
      </c>
      <c r="C16" s="20" t="s">
        <v>69</v>
      </c>
      <c r="D16" s="22">
        <v>1200</v>
      </c>
      <c r="E16" s="23">
        <f>B16*D16</f>
      </c>
    </row>
    <row r="17" spans="1:5" x14ac:dyDescent="0.25">
      <c r="A17" s="20" t="s">
        <v>70</v>
      </c>
      <c r="B17" s="21">
        <v>30</v>
      </c>
      <c r="C17" s="20" t="s">
        <v>71</v>
      </c>
      <c r="D17" s="22">
        <v>4.5</v>
      </c>
      <c r="E17" s="23">
        <f>B17*D17</f>
      </c>
    </row>
    <row r="18" spans="1:5" x14ac:dyDescent="0.25">
      <c r="A18" s="20" t="s">
        <v>72</v>
      </c>
      <c r="B18" s="21">
        <v>600</v>
      </c>
      <c r="C18" s="20" t="s">
        <v>73</v>
      </c>
      <c r="D18" s="22">
        <v>1.25</v>
      </c>
      <c r="E18" s="23">
        <f>B18*D18</f>
      </c>
    </row>
    <row r="19" spans="1:5" x14ac:dyDescent="0.25">
      <c r="A19" s="20" t="s">
        <v>74</v>
      </c>
      <c r="B19" s="21">
        <v>150</v>
      </c>
      <c r="C19" s="20" t="s">
        <v>67</v>
      </c>
      <c r="D19" s="22">
        <v>3.5</v>
      </c>
      <c r="E19" s="23">
        <f>B19*D19</f>
      </c>
    </row>
    <row r="20" spans="1:5" x14ac:dyDescent="0.25">
      <c r="A20" s="20" t="s">
        <v>75</v>
      </c>
      <c r="B20" s="21">
        <v>10</v>
      </c>
      <c r="C20" s="20" t="s">
        <v>76</v>
      </c>
      <c r="D20" s="22">
        <v>35</v>
      </c>
      <c r="E20" s="23">
        <f>B20*D20</f>
      </c>
    </row>
    <row r="21" spans="1:5" x14ac:dyDescent="0.25">
      <c r="A21" s="20" t="s">
        <v>77</v>
      </c>
      <c r="B21" s="21">
        <v>800</v>
      </c>
      <c r="C21" s="20" t="s">
        <v>73</v>
      </c>
      <c r="D21" s="22">
        <v>0.2</v>
      </c>
      <c r="E21" s="23">
        <f>B21*D21</f>
      </c>
    </row>
    <row r="22" spans="1:5" x14ac:dyDescent="0.25">
      <c r="A22" s="20" t="s">
        <v>78</v>
      </c>
      <c r="B22" s="21">
        <v>1</v>
      </c>
      <c r="C22" s="20" t="s">
        <v>69</v>
      </c>
      <c r="D22" s="22">
        <v>300</v>
      </c>
      <c r="E22" s="23">
        <f>B22*D22</f>
      </c>
    </row>
    <row r="23" spans="1:5" x14ac:dyDescent="0.25">
      <c r="A23" s="20" t="s">
        <v>79</v>
      </c>
      <c r="B23" s="21">
        <v>5</v>
      </c>
      <c r="C23" s="20" t="s">
        <v>80</v>
      </c>
      <c r="D23" s="22">
        <v>15</v>
      </c>
      <c r="E23" s="23">
        <f>B23*D23</f>
      </c>
    </row>
    <row r="24" spans="1:5" x14ac:dyDescent="0.25">
      <c r="A24" s="19" t="s">
        <v>81</v>
      </c>
      <c r="B24" s="19"/>
      <c r="C24" s="19"/>
      <c r="D24" s="19"/>
      <c r="E24" s="24">
        <f>SUM(E14:E23)</f>
      </c>
    </row>
    <row r="26" ht="22" customHeight="1" spans="1:5" x14ac:dyDescent="0.25">
      <c r="A26" s="17" t="s">
        <v>82</v>
      </c>
      <c r="B26" s="18" t="s">
        <v>83</v>
      </c>
      <c r="C26" s="18"/>
      <c r="D26" s="18" t="s">
        <v>84</v>
      </c>
      <c r="E26" s="18" t="s">
        <v>62</v>
      </c>
    </row>
    <row r="27" spans="1:5" x14ac:dyDescent="0.25">
      <c r="A27" s="19" t="s">
        <v>63</v>
      </c>
      <c r="B27" s="19" t="s">
        <v>83</v>
      </c>
      <c r="C27" s="19"/>
      <c r="D27" s="19" t="s">
        <v>85</v>
      </c>
      <c r="E27" s="19" t="s">
        <v>62</v>
      </c>
    </row>
    <row r="28" spans="1:5" x14ac:dyDescent="0.25">
      <c r="A28" s="20" t="s">
        <v>86</v>
      </c>
      <c r="B28" s="21">
        <v>20</v>
      </c>
      <c r="C28" s="20"/>
      <c r="D28" s="22">
        <v>55</v>
      </c>
      <c r="E28" s="23">
        <f>B28*D28</f>
      </c>
    </row>
    <row r="29" spans="1:5" x14ac:dyDescent="0.25">
      <c r="A29" s="20" t="s">
        <v>87</v>
      </c>
      <c r="B29" s="21">
        <v>16</v>
      </c>
      <c r="C29" s="20"/>
      <c r="D29" s="22">
        <v>60</v>
      </c>
      <c r="E29" s="23">
        <f>B29*D29</f>
      </c>
    </row>
    <row r="30" spans="1:5" x14ac:dyDescent="0.25">
      <c r="A30" s="20" t="s">
        <v>88</v>
      </c>
      <c r="B30" s="21">
        <v>16</v>
      </c>
      <c r="C30" s="20"/>
      <c r="D30" s="22">
        <v>60</v>
      </c>
      <c r="E30" s="23">
        <f>B30*D30</f>
      </c>
    </row>
    <row r="31" spans="1:5" x14ac:dyDescent="0.25">
      <c r="A31" s="20" t="s">
        <v>89</v>
      </c>
      <c r="B31" s="21">
        <v>10</v>
      </c>
      <c r="C31" s="20"/>
      <c r="D31" s="22">
        <v>65</v>
      </c>
      <c r="E31" s="23">
        <f>B31*D31</f>
      </c>
    </row>
    <row r="32" spans="1:5" x14ac:dyDescent="0.25">
      <c r="A32" s="20" t="s">
        <v>90</v>
      </c>
      <c r="B32" s="21">
        <v>20</v>
      </c>
      <c r="C32" s="20"/>
      <c r="D32" s="22">
        <v>60</v>
      </c>
      <c r="E32" s="23">
        <f>B32*D32</f>
      </c>
    </row>
    <row r="33" spans="1:5" x14ac:dyDescent="0.25">
      <c r="A33" s="20" t="s">
        <v>91</v>
      </c>
      <c r="B33" s="21">
        <v>12</v>
      </c>
      <c r="C33" s="20"/>
      <c r="D33" s="22">
        <v>65</v>
      </c>
      <c r="E33" s="23">
        <f>B33*D33</f>
      </c>
    </row>
    <row r="34" spans="1:5" x14ac:dyDescent="0.25">
      <c r="A34" s="20" t="s">
        <v>92</v>
      </c>
      <c r="B34" s="21">
        <v>12</v>
      </c>
      <c r="C34" s="20"/>
      <c r="D34" s="22">
        <v>55</v>
      </c>
      <c r="E34" s="23">
        <f>B34*D34</f>
      </c>
    </row>
    <row r="35" spans="1:5" x14ac:dyDescent="0.25">
      <c r="A35" s="20" t="s">
        <v>93</v>
      </c>
      <c r="B35" s="21">
        <v>8</v>
      </c>
      <c r="C35" s="20"/>
      <c r="D35" s="22">
        <v>55</v>
      </c>
      <c r="E35" s="23">
        <f>B35*D35</f>
      </c>
    </row>
    <row r="36" spans="1:5" x14ac:dyDescent="0.25">
      <c r="A36" s="20" t="s">
        <v>94</v>
      </c>
      <c r="B36" s="21">
        <v>8</v>
      </c>
      <c r="C36" s="20"/>
      <c r="D36" s="22">
        <v>55</v>
      </c>
      <c r="E36" s="23">
        <f>B36*D36</f>
      </c>
    </row>
    <row r="37" spans="1:5" x14ac:dyDescent="0.25">
      <c r="A37" s="20" t="s">
        <v>95</v>
      </c>
      <c r="B37" s="21">
        <v>6</v>
      </c>
      <c r="C37" s="20"/>
      <c r="D37" s="22">
        <v>50</v>
      </c>
      <c r="E37" s="23">
        <f>B37*D37</f>
      </c>
    </row>
    <row r="38" spans="1:5" x14ac:dyDescent="0.25">
      <c r="A38" s="19" t="s">
        <v>96</v>
      </c>
      <c r="B38" s="19"/>
      <c r="C38" s="19"/>
      <c r="D38" s="19"/>
      <c r="E38" s="24">
        <f>SUM(E28:E37)</f>
      </c>
    </row>
    <row r="40" ht="22" customHeight="1" spans="1:5" x14ac:dyDescent="0.25">
      <c r="A40" s="17" t="s">
        <v>97</v>
      </c>
      <c r="B40" s="18" t="s">
        <v>59</v>
      </c>
      <c r="C40" s="18" t="s">
        <v>60</v>
      </c>
      <c r="D40" s="18" t="s">
        <v>98</v>
      </c>
      <c r="E40" s="18" t="s">
        <v>62</v>
      </c>
    </row>
    <row r="41" spans="1:5" x14ac:dyDescent="0.25">
      <c r="A41" s="19" t="s">
        <v>63</v>
      </c>
      <c r="B41" s="19" t="s">
        <v>59</v>
      </c>
      <c r="C41" s="19" t="s">
        <v>60</v>
      </c>
      <c r="D41" s="19" t="s">
        <v>98</v>
      </c>
      <c r="E41" s="19" t="s">
        <v>62</v>
      </c>
    </row>
    <row r="42" spans="1:5" x14ac:dyDescent="0.25">
      <c r="A42" s="20" t="s">
        <v>99</v>
      </c>
      <c r="B42" s="21">
        <v>3</v>
      </c>
      <c r="C42" s="20" t="s">
        <v>100</v>
      </c>
      <c r="D42" s="22">
        <v>500</v>
      </c>
      <c r="E42" s="23">
        <f>B42*D42</f>
      </c>
    </row>
    <row r="43" spans="1:5" x14ac:dyDescent="0.25">
      <c r="A43" s="20" t="s">
        <v>101</v>
      </c>
      <c r="B43" s="21">
        <v>2</v>
      </c>
      <c r="C43" s="20" t="s">
        <v>102</v>
      </c>
      <c r="D43" s="22">
        <v>600</v>
      </c>
      <c r="E43" s="23">
        <f>B43*D43</f>
      </c>
    </row>
    <row r="44" spans="1:5" x14ac:dyDescent="0.25">
      <c r="A44" s="20" t="s">
        <v>103</v>
      </c>
      <c r="B44" s="21">
        <v>2</v>
      </c>
      <c r="C44" s="20" t="s">
        <v>100</v>
      </c>
      <c r="D44" s="22">
        <v>85</v>
      </c>
      <c r="E44" s="23">
        <f>B44*D44</f>
      </c>
    </row>
    <row r="45" spans="1:5" x14ac:dyDescent="0.25">
      <c r="A45" s="20" t="s">
        <v>104</v>
      </c>
      <c r="B45" s="21">
        <v>1</v>
      </c>
      <c r="C45" s="20" t="s">
        <v>105</v>
      </c>
      <c r="D45" s="22">
        <v>75</v>
      </c>
      <c r="E45" s="23">
        <f>B45*D45</f>
      </c>
    </row>
    <row r="46" spans="1:5" x14ac:dyDescent="0.25">
      <c r="A46" s="20" t="s">
        <v>106</v>
      </c>
      <c r="B46" s="21">
        <v>1</v>
      </c>
      <c r="C46" s="20" t="s">
        <v>107</v>
      </c>
      <c r="D46" s="22">
        <v>400</v>
      </c>
      <c r="E46" s="23">
        <f>B46*D46</f>
      </c>
    </row>
    <row r="47" spans="1:5" x14ac:dyDescent="0.25">
      <c r="A47" s="19" t="s">
        <v>108</v>
      </c>
      <c r="B47" s="19"/>
      <c r="C47" s="19"/>
      <c r="D47" s="19"/>
      <c r="E47" s="24">
        <f>SUM(E42:E46)</f>
      </c>
    </row>
    <row r="49" ht="22" customHeight="1" spans="1:5" x14ac:dyDescent="0.25">
      <c r="A49" s="17" t="s">
        <v>109</v>
      </c>
      <c r="B49" s="18"/>
      <c r="C49" s="18"/>
      <c r="D49" s="18"/>
      <c r="E49" s="18"/>
    </row>
    <row r="50" spans="1:5" x14ac:dyDescent="0.25">
      <c r="A50" s="20" t="s">
        <v>110</v>
      </c>
      <c r="B50" s="21"/>
      <c r="C50" s="20"/>
      <c r="D50" s="22"/>
      <c r="E50" s="23">
        <f>B50*D50</f>
      </c>
    </row>
    <row r="51" spans="1:5" x14ac:dyDescent="0.25">
      <c r="A51" s="20" t="s">
        <v>111</v>
      </c>
      <c r="B51" s="21"/>
      <c r="C51" s="20"/>
      <c r="D51" s="22"/>
      <c r="E51" s="23">
        <f>B51*D51</f>
      </c>
    </row>
    <row r="52" spans="1:5" x14ac:dyDescent="0.25">
      <c r="A52" s="20" t="s">
        <v>112</v>
      </c>
      <c r="B52" s="21"/>
      <c r="C52" s="20"/>
      <c r="D52" s="22"/>
      <c r="E52" s="23">
        <f>B52*D52</f>
      </c>
    </row>
    <row r="53" spans="1:5" x14ac:dyDescent="0.25">
      <c r="A53" s="20" t="s">
        <v>113</v>
      </c>
      <c r="B53" s="21"/>
      <c r="C53" s="20"/>
      <c r="D53" s="22"/>
      <c r="E53" s="23">
        <f>B53*D53</f>
      </c>
    </row>
    <row r="54" spans="1:5" x14ac:dyDescent="0.25">
      <c r="A54" s="20" t="s">
        <v>114</v>
      </c>
      <c r="B54" s="21"/>
      <c r="C54" s="20"/>
      <c r="D54" s="22"/>
      <c r="E54" s="23">
        <f>B54*D54</f>
      </c>
    </row>
    <row r="55" spans="1:5" x14ac:dyDescent="0.25">
      <c r="A55" s="20" t="s">
        <v>115</v>
      </c>
      <c r="B55" s="21"/>
      <c r="C55" s="20"/>
      <c r="D55" s="22"/>
      <c r="E55" s="23">
        <f>B55*D55</f>
      </c>
    </row>
    <row r="56" spans="1:5" x14ac:dyDescent="0.25">
      <c r="A56" s="20" t="s">
        <v>116</v>
      </c>
      <c r="B56" s="21"/>
      <c r="C56" s="20"/>
      <c r="D56" s="22"/>
      <c r="E56" s="23">
        <f>B56*D56</f>
      </c>
    </row>
    <row r="57" spans="1:5" x14ac:dyDescent="0.25">
      <c r="A57" s="20" t="s">
        <v>117</v>
      </c>
      <c r="B57" s="21"/>
      <c r="C57" s="20"/>
      <c r="D57" s="22"/>
      <c r="E57" s="23">
        <f>B57*D57</f>
      </c>
    </row>
    <row r="58" spans="1:5" x14ac:dyDescent="0.25">
      <c r="A58" s="20" t="s">
        <v>118</v>
      </c>
      <c r="B58" s="21"/>
      <c r="C58" s="20"/>
      <c r="D58" s="22"/>
      <c r="E58" s="23">
        <f>B58*D58</f>
      </c>
    </row>
    <row r="59" spans="1:5" x14ac:dyDescent="0.25">
      <c r="A59" s="20" t="s">
        <v>119</v>
      </c>
      <c r="B59" s="21"/>
      <c r="C59" s="20"/>
      <c r="D59" s="22"/>
      <c r="E59" s="23">
        <f>B59*D59</f>
      </c>
    </row>
    <row r="60" spans="1:5" x14ac:dyDescent="0.25">
      <c r="A60" s="19" t="s">
        <v>120</v>
      </c>
      <c r="B60" s="19"/>
      <c r="C60" s="19"/>
      <c r="D60" s="19"/>
      <c r="E60" s="24">
        <f>SUM(E50:E59)</f>
      </c>
    </row>
    <row r="62" ht="22" customHeight="1" spans="1:5" x14ac:dyDescent="0.25">
      <c r="A62" s="17" t="s">
        <v>121</v>
      </c>
      <c r="B62" s="18"/>
      <c r="C62" s="18"/>
      <c r="D62" s="18"/>
      <c r="E62" s="18"/>
    </row>
    <row r="63" spans="1:5" x14ac:dyDescent="0.25">
      <c r="A63" s="20" t="s">
        <v>122</v>
      </c>
      <c r="B63" s="20"/>
      <c r="C63" s="20"/>
      <c r="D63" s="20"/>
      <c r="E63" s="23">
        <f>E24</f>
      </c>
    </row>
    <row r="64" spans="1:5" x14ac:dyDescent="0.25">
      <c r="A64" s="20" t="s">
        <v>123</v>
      </c>
      <c r="B64" s="20"/>
      <c r="C64" s="20"/>
      <c r="D64" s="20"/>
      <c r="E64" s="23">
        <f>E38</f>
      </c>
    </row>
    <row r="65" spans="1:5" x14ac:dyDescent="0.25">
      <c r="A65" s="20" t="s">
        <v>124</v>
      </c>
      <c r="B65" s="20"/>
      <c r="C65" s="20"/>
      <c r="D65" s="20"/>
      <c r="E65" s="23">
        <f>E47</f>
      </c>
    </row>
    <row r="66" spans="1:5" x14ac:dyDescent="0.25">
      <c r="A66" s="20" t="s">
        <v>125</v>
      </c>
      <c r="B66" s="20"/>
      <c r="C66" s="20"/>
      <c r="D66" s="20"/>
      <c r="E66" s="23">
        <f>E60</f>
      </c>
    </row>
    <row r="67" spans="1:5" x14ac:dyDescent="0.25">
      <c r="A67" s="19" t="s">
        <v>126</v>
      </c>
      <c r="B67" s="19"/>
      <c r="C67" s="19"/>
      <c r="D67" s="19"/>
      <c r="E67" s="24">
        <f>E63+E64+E65+E66</f>
      </c>
    </row>
    <row r="68" spans="1:5" x14ac:dyDescent="0.25">
      <c r="A68" s="25" t="s">
        <v>127</v>
      </c>
      <c r="B68" s="26">
        <v>0.1</v>
      </c>
      <c r="C68" s="20"/>
      <c r="D68" s="20"/>
      <c r="E68" s="23">
        <f>E67*B68</f>
      </c>
    </row>
    <row r="69" spans="1:5" x14ac:dyDescent="0.25">
      <c r="A69" s="25" t="s">
        <v>128</v>
      </c>
      <c r="B69" s="26">
        <v>0.15</v>
      </c>
      <c r="C69" s="20"/>
      <c r="D69" s="20"/>
      <c r="E69" s="23">
        <f>(E67+E68)*B69</f>
      </c>
    </row>
    <row r="70" ht="28" customHeight="1" spans="1:5" x14ac:dyDescent="0.25">
      <c r="A70" s="27" t="s">
        <v>129</v>
      </c>
      <c r="B70" s="28"/>
      <c r="C70" s="28"/>
      <c r="D70" s="28"/>
      <c r="E70" s="29">
        <f>E67+E68+E69</f>
      </c>
    </row>
    <row r="72" ht="22" customHeight="1" spans="1:5" x14ac:dyDescent="0.25">
      <c r="A72" s="17" t="s">
        <v>130</v>
      </c>
      <c r="B72" s="18"/>
      <c r="C72" s="18"/>
      <c r="D72" s="18"/>
      <c r="E72" s="18"/>
    </row>
    <row r="73" spans="1:5" x14ac:dyDescent="0.25">
      <c r="A73" s="30" t="s">
        <v>131</v>
      </c>
      <c r="B73" s="21"/>
      <c r="C73" s="21"/>
      <c r="D73" s="21"/>
      <c r="E73" s="21"/>
    </row>
    <row r="74" spans="1:5" x14ac:dyDescent="0.25">
      <c r="A74" s="30" t="s">
        <v>132</v>
      </c>
      <c r="B74" s="21"/>
      <c r="C74" s="21"/>
      <c r="D74" s="21"/>
      <c r="E74" s="21"/>
    </row>
    <row r="75" spans="1:5" x14ac:dyDescent="0.25">
      <c r="A75" s="30" t="s">
        <v>133</v>
      </c>
      <c r="B75" s="21"/>
      <c r="C75" s="21"/>
      <c r="D75" s="21"/>
      <c r="E75" s="21"/>
    </row>
    <row r="76" spans="1:5" x14ac:dyDescent="0.25">
      <c r="A76" s="30" t="s">
        <v>134</v>
      </c>
      <c r="B76" s="21"/>
      <c r="C76" s="21"/>
      <c r="D76" s="21"/>
      <c r="E76" s="21"/>
    </row>
    <row r="77" spans="1:5" x14ac:dyDescent="0.25">
      <c r="A77" s="30" t="s">
        <v>135</v>
      </c>
      <c r="B77" s="21"/>
      <c r="C77" s="21"/>
      <c r="D77" s="21"/>
      <c r="E77" s="21"/>
    </row>
    <row r="78" spans="1:5" x14ac:dyDescent="0.25">
      <c r="A78" s="30" t="s">
        <v>136</v>
      </c>
      <c r="B78" s="21"/>
      <c r="C78" s="21"/>
      <c r="D78" s="21"/>
      <c r="E78" s="21"/>
    </row>
    <row r="79" spans="1:5" x14ac:dyDescent="0.25">
      <c r="A79" s="30" t="s">
        <v>137</v>
      </c>
      <c r="B79" s="21"/>
      <c r="C79" s="21"/>
      <c r="D79" s="21"/>
      <c r="E79" s="21"/>
    </row>
    <row r="80" spans="1:5" x14ac:dyDescent="0.25">
      <c r="A80" s="30" t="s">
        <v>138</v>
      </c>
      <c r="B80" s="21"/>
      <c r="C80" s="21"/>
      <c r="D80" s="21"/>
      <c r="E80" s="21"/>
    </row>
    <row r="81" spans="1:5" x14ac:dyDescent="0.25">
      <c r="A81" s="30" t="s">
        <v>139</v>
      </c>
      <c r="B81" s="21"/>
      <c r="C81" s="21"/>
      <c r="D81" s="21"/>
      <c r="E81" s="21"/>
    </row>
    <row r="83" ht="22" customHeight="1" spans="1:5" x14ac:dyDescent="0.25">
      <c r="A83" s="17" t="s">
        <v>140</v>
      </c>
      <c r="B83" s="18"/>
      <c r="C83" s="18"/>
      <c r="D83" s="18"/>
      <c r="E83" s="18"/>
    </row>
    <row r="84" spans="1:5" x14ac:dyDescent="0.25">
      <c r="A84" s="31" t="s">
        <v>141</v>
      </c>
      <c r="B84" s="31"/>
      <c r="C84" s="31"/>
      <c r="D84" s="31"/>
      <c r="E84" s="31"/>
    </row>
    <row r="85" spans="1:5" x14ac:dyDescent="0.25">
      <c r="A85" s="31" t="s">
        <v>142</v>
      </c>
      <c r="B85" s="31"/>
      <c r="C85" s="31"/>
      <c r="D85" s="31"/>
      <c r="E85" s="31"/>
    </row>
    <row r="86" spans="1:5" x14ac:dyDescent="0.25">
      <c r="A86" s="31" t="s">
        <v>143</v>
      </c>
      <c r="B86" s="31"/>
      <c r="C86" s="31"/>
      <c r="D86" s="31"/>
      <c r="E86" s="31"/>
    </row>
    <row r="87" spans="1:5" x14ac:dyDescent="0.25">
      <c r="A87" s="31" t="s">
        <v>144</v>
      </c>
      <c r="B87" s="31"/>
      <c r="C87" s="31"/>
      <c r="D87" s="31"/>
      <c r="E87" s="31"/>
    </row>
    <row r="88" spans="1:5" x14ac:dyDescent="0.25">
      <c r="A88" s="31" t="s">
        <v>145</v>
      </c>
      <c r="B88" s="31"/>
      <c r="C88" s="31"/>
      <c r="D88" s="31"/>
      <c r="E88" s="31"/>
    </row>
    <row r="89" spans="1:5" x14ac:dyDescent="0.25">
      <c r="A89" s="31" t="s">
        <v>146</v>
      </c>
      <c r="B89" s="31"/>
      <c r="C89" s="31"/>
      <c r="D89" s="31"/>
      <c r="E89" s="31"/>
    </row>
    <row r="90" spans="1:5" x14ac:dyDescent="0.25">
      <c r="A90" s="31" t="s">
        <v>147</v>
      </c>
      <c r="B90" s="31"/>
      <c r="C90" s="31"/>
      <c r="D90" s="31"/>
      <c r="E90" s="31"/>
    </row>
    <row r="91" spans="1:5" x14ac:dyDescent="0.25">
      <c r="A91" s="31" t="s">
        <v>148</v>
      </c>
      <c r="B91" s="31"/>
      <c r="C91" s="31"/>
      <c r="D91" s="31"/>
      <c r="E91" s="31"/>
    </row>
    <row r="92" spans="1:5" x14ac:dyDescent="0.25">
      <c r="A92" s="31" t="s">
        <v>149</v>
      </c>
      <c r="B92" s="31"/>
      <c r="C92" s="31"/>
      <c r="D92" s="31"/>
      <c r="E92" s="31"/>
    </row>
    <row r="94" ht="22" customHeight="1" spans="1:5" x14ac:dyDescent="0.25">
      <c r="A94" s="17" t="s">
        <v>150</v>
      </c>
      <c r="B94" s="18"/>
      <c r="C94" s="18"/>
      <c r="D94" s="18"/>
      <c r="E94" s="18"/>
    </row>
    <row r="95" spans="1:5" x14ac:dyDescent="0.25">
      <c r="A95" s="19" t="s">
        <v>151</v>
      </c>
      <c r="B95" s="19" t="s">
        <v>152</v>
      </c>
      <c r="C95" s="19" t="s">
        <v>153</v>
      </c>
      <c r="D95" s="19" t="s">
        <v>154</v>
      </c>
      <c r="E95" s="19" t="s">
        <v>155</v>
      </c>
    </row>
    <row r="96" spans="1:5" x14ac:dyDescent="0.25">
      <c r="A96" s="21"/>
      <c r="B96" s="21"/>
      <c r="C96" s="20"/>
      <c r="D96" s="22"/>
      <c r="E96" s="21"/>
    </row>
    <row r="97" spans="1:5" x14ac:dyDescent="0.25">
      <c r="A97" s="21"/>
      <c r="B97" s="21"/>
      <c r="C97" s="20"/>
      <c r="D97" s="22"/>
      <c r="E97" s="21"/>
    </row>
    <row r="98" spans="1:5" x14ac:dyDescent="0.25">
      <c r="A98" s="21"/>
      <c r="B98" s="21"/>
      <c r="C98" s="20"/>
      <c r="D98" s="22"/>
      <c r="E98" s="21"/>
    </row>
    <row r="99" spans="1:5" x14ac:dyDescent="0.25">
      <c r="A99" s="21"/>
      <c r="B99" s="21"/>
      <c r="C99" s="20"/>
      <c r="D99" s="22"/>
      <c r="E99" s="21"/>
    </row>
    <row r="100" spans="1:5" x14ac:dyDescent="0.25">
      <c r="A100" s="21"/>
      <c r="B100" s="21"/>
      <c r="C100" s="20"/>
      <c r="D100" s="22"/>
      <c r="E100" s="21"/>
    </row>
    <row r="102" ht="22" customHeight="1" spans="1:5" x14ac:dyDescent="0.25">
      <c r="A102" s="17" t="s">
        <v>156</v>
      </c>
      <c r="B102" s="18"/>
      <c r="C102" s="18"/>
      <c r="D102" s="18"/>
      <c r="E102" s="18"/>
    </row>
    <row r="103" spans="1:5" x14ac:dyDescent="0.25">
      <c r="A103" s="32" t="s">
        <v>157</v>
      </c>
      <c r="B103" s="32"/>
      <c r="C103" s="32"/>
      <c r="D103" s="32"/>
      <c r="E103" s="32"/>
    </row>
    <row r="104" spans="1:5" x14ac:dyDescent="0.25">
      <c r="A104" s="32" t="s">
        <v>158</v>
      </c>
      <c r="B104" s="32"/>
      <c r="C104" s="32"/>
      <c r="D104" s="32"/>
      <c r="E104" s="32"/>
    </row>
    <row r="105" spans="1:5" x14ac:dyDescent="0.25">
      <c r="A105" s="32" t="s">
        <v>159</v>
      </c>
      <c r="B105" s="32"/>
      <c r="C105" s="32"/>
      <c r="D105" s="32"/>
      <c r="E105" s="32"/>
    </row>
    <row r="106" spans="1:5" x14ac:dyDescent="0.25">
      <c r="A106" s="32" t="s">
        <v>160</v>
      </c>
      <c r="B106" s="32"/>
      <c r="C106" s="32"/>
      <c r="D106" s="32"/>
      <c r="E106" s="32"/>
    </row>
    <row r="107" spans="1:5" x14ac:dyDescent="0.25">
      <c r="A107" s="32" t="s">
        <v>161</v>
      </c>
      <c r="B107" s="32"/>
      <c r="C107" s="32"/>
      <c r="D107" s="32"/>
      <c r="E107" s="32"/>
    </row>
    <row r="108" spans="1:5" x14ac:dyDescent="0.25">
      <c r="A108" s="32" t="s">
        <v>162</v>
      </c>
      <c r="B108" s="32"/>
      <c r="C108" s="32"/>
      <c r="D108" s="32"/>
      <c r="E108" s="32"/>
    </row>
    <row r="109" spans="1:5" x14ac:dyDescent="0.25">
      <c r="A109" s="32" t="s">
        <v>163</v>
      </c>
      <c r="B109" s="32"/>
      <c r="C109" s="32"/>
      <c r="D109" s="32"/>
      <c r="E109" s="32"/>
    </row>
    <row r="110" spans="1:5" x14ac:dyDescent="0.25">
      <c r="A110" s="32" t="s">
        <v>164</v>
      </c>
      <c r="B110" s="32"/>
      <c r="C110" s="32"/>
      <c r="D110" s="32"/>
      <c r="E110" s="32"/>
    </row>
    <row r="111" spans="1:5" x14ac:dyDescent="0.25">
      <c r="A111" s="32" t="s">
        <v>165</v>
      </c>
      <c r="B111" s="32"/>
      <c r="C111" s="32"/>
      <c r="D111" s="32"/>
      <c r="E111" s="32"/>
    </row>
    <row r="112" spans="1:5" x14ac:dyDescent="0.25">
      <c r="A112" s="32" t="s">
        <v>166</v>
      </c>
      <c r="B112" s="32"/>
      <c r="C112" s="32"/>
      <c r="D112" s="32"/>
      <c r="E112" s="32"/>
    </row>
    <row r="113" spans="1:5" x14ac:dyDescent="0.25">
      <c r="A113" s="32" t="s">
        <v>167</v>
      </c>
      <c r="B113" s="32"/>
      <c r="C113" s="32"/>
      <c r="D113" s="32"/>
      <c r="E113" s="32"/>
    </row>
    <row r="114" spans="1:5" x14ac:dyDescent="0.25">
      <c r="A114" s="32" t="s">
        <v>168</v>
      </c>
      <c r="B114" s="32"/>
      <c r="C114" s="32"/>
      <c r="D114" s="32"/>
      <c r="E114" s="32"/>
    </row>
    <row r="116" spans="1:1" x14ac:dyDescent="0.25">
      <c r="A116" s="33" t="s">
        <v>169</v>
      </c>
    </row>
    <row r="117" spans="1:1" x14ac:dyDescent="0.25">
      <c r="A117" t="s">
        <v>170</v>
      </c>
    </row>
    <row r="118" spans="1:1" x14ac:dyDescent="0.25">
      <c r="A118" t="s">
        <v>171</v>
      </c>
    </row>
    <row r="119" spans="1:1" x14ac:dyDescent="0.25">
      <c r="A119" t="s">
        <v>172</v>
      </c>
    </row>
    <row r="121" spans="1:1" x14ac:dyDescent="0.25">
      <c r="A121" s="14" t="s">
        <v>173</v>
      </c>
    </row>
    <row r="122" spans="1:5" x14ac:dyDescent="0.25">
      <c r="A122" t="s">
        <v>174</v>
      </c>
      <c r="B122"/>
      <c r="C122"/>
      <c r="D122"/>
      <c r="E122"/>
    </row>
    <row r="123" spans="1:5" x14ac:dyDescent="0.25">
      <c r="A123" t="s">
        <v>175</v>
      </c>
      <c r="B123"/>
      <c r="C123"/>
      <c r="D123"/>
      <c r="E123"/>
    </row>
    <row r="125" spans="1:1" x14ac:dyDescent="0.25">
      <c r="A125" t="s">
        <v>176</v>
      </c>
    </row>
    <row r="126" spans="1:1" x14ac:dyDescent="0.25">
      <c r="A126" t="s">
        <v>177</v>
      </c>
    </row>
    <row r="128" spans="1:1" x14ac:dyDescent="0.25">
      <c r="A128" s="34" t="s">
        <v>178</v>
      </c>
    </row>
  </sheetData>
  <mergeCells count="35">
    <mergeCell ref="A1:F1"/>
    <mergeCell ref="A2:F2"/>
    <mergeCell ref="A3:F3"/>
    <mergeCell ref="B73:E73"/>
    <mergeCell ref="B74:E74"/>
    <mergeCell ref="B75:E75"/>
    <mergeCell ref="B76:E76"/>
    <mergeCell ref="B77:E77"/>
    <mergeCell ref="B78:E78"/>
    <mergeCell ref="B79:E79"/>
    <mergeCell ref="B80:E80"/>
    <mergeCell ref="B81:E81"/>
    <mergeCell ref="A84:E84"/>
    <mergeCell ref="A85:E85"/>
    <mergeCell ref="A86:E86"/>
    <mergeCell ref="A87:E87"/>
    <mergeCell ref="A88:E88"/>
    <mergeCell ref="A89:E89"/>
    <mergeCell ref="A90:E90"/>
    <mergeCell ref="A91:E91"/>
    <mergeCell ref="A92:E92"/>
    <mergeCell ref="A103:E103"/>
    <mergeCell ref="A104:E104"/>
    <mergeCell ref="A105:E105"/>
    <mergeCell ref="A106:E106"/>
    <mergeCell ref="A107:E107"/>
    <mergeCell ref="A108:E108"/>
    <mergeCell ref="A109:E109"/>
    <mergeCell ref="A110:E110"/>
    <mergeCell ref="A111:E111"/>
    <mergeCell ref="A112:E112"/>
    <mergeCell ref="A113:E113"/>
    <mergeCell ref="A114:E114"/>
    <mergeCell ref="A122:E122"/>
    <mergeCell ref="A123:E123"/>
  </mergeCells>
  <dataValidations count="2">
    <dataValidation type="list" allowBlank="1" sqref="B68">
      <formula1>"8%,10%,12%,15%"</formula1>
    </dataValidation>
    <dataValidation type="list" allowBlank="1" sqref="B69">
      <formula1>"10%,15%,20%,25%,30%,35%"</formula1>
    </dataValidation>
  </dataValidations>
  <pageSetup paperSize="1" orientation="portrait" fitToWidth="1" fitToHeight="0"/>
  <headerFooter>
    <oddFooter>EstimateConcrete.com — Professional Concrete Estimating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  <pageSetUpPr fitToPage="1"/>
  </sheetPr>
  <dimension ref="A1:G36"/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6" width="14" customWidth="1"/>
    <col min="7" max="7" width="20" customWidth="1"/>
  </cols>
  <sheetData>
    <row r="1" ht="30" customHeight="1" spans="1:7" x14ac:dyDescent="0.25">
      <c r="A1" s="1" t="s">
        <v>179</v>
      </c>
      <c r="B1" s="1"/>
      <c r="C1" s="1"/>
      <c r="D1" s="1"/>
      <c r="E1" s="1"/>
      <c r="F1" s="1"/>
      <c r="G1" s="1"/>
    </row>
    <row r="2" spans="1:7" x14ac:dyDescent="0.25">
      <c r="A2" s="11" t="s">
        <v>180</v>
      </c>
      <c r="B2" s="11"/>
      <c r="C2" s="11"/>
      <c r="D2" s="11"/>
      <c r="E2" s="11"/>
      <c r="F2" s="11"/>
      <c r="G2" s="11"/>
    </row>
    <row r="4" spans="1:5" x14ac:dyDescent="0.25">
      <c r="A4" s="35" t="s">
        <v>181</v>
      </c>
      <c r="B4" s="21"/>
      <c r="D4" s="35" t="s">
        <v>182</v>
      </c>
      <c r="E4" s="22"/>
    </row>
    <row r="5" spans="1:2" x14ac:dyDescent="0.25">
      <c r="A5" s="35" t="s">
        <v>183</v>
      </c>
      <c r="B5" s="21"/>
    </row>
    <row r="7" ht="22" customHeight="1" spans="1:7" x14ac:dyDescent="0.25">
      <c r="A7" s="17" t="s">
        <v>184</v>
      </c>
      <c r="B7" s="18" t="s">
        <v>185</v>
      </c>
      <c r="C7" s="18" t="s">
        <v>186</v>
      </c>
      <c r="D7" s="18" t="s">
        <v>187</v>
      </c>
      <c r="E7" s="18" t="s">
        <v>188</v>
      </c>
      <c r="F7" s="18" t="s">
        <v>189</v>
      </c>
      <c r="G7" s="18" t="s">
        <v>190</v>
      </c>
    </row>
    <row r="8" spans="1:7" x14ac:dyDescent="0.25">
      <c r="A8" s="36">
        <v>1</v>
      </c>
      <c r="B8" s="21"/>
      <c r="C8" s="22"/>
      <c r="D8" s="21"/>
      <c r="E8" s="21"/>
      <c r="F8" s="21"/>
      <c r="G8" s="23">
        <f>IF(C8="","",SUM(C$8:C8))</f>
      </c>
    </row>
    <row r="9" spans="1:7" x14ac:dyDescent="0.25">
      <c r="A9" s="36">
        <v>2</v>
      </c>
      <c r="B9" s="21"/>
      <c r="C9" s="22"/>
      <c r="D9" s="21"/>
      <c r="E9" s="21"/>
      <c r="F9" s="21"/>
      <c r="G9" s="23">
        <f>IF(C9="","",SUM(C$8:C9))</f>
      </c>
    </row>
    <row r="10" spans="1:7" x14ac:dyDescent="0.25">
      <c r="A10" s="36">
        <v>3</v>
      </c>
      <c r="B10" s="21"/>
      <c r="C10" s="22"/>
      <c r="D10" s="21"/>
      <c r="E10" s="21"/>
      <c r="F10" s="21"/>
      <c r="G10" s="23">
        <f>IF(C10="","",SUM(C$8:C10))</f>
      </c>
    </row>
    <row r="11" spans="1:7" x14ac:dyDescent="0.25">
      <c r="A11" s="36">
        <v>4</v>
      </c>
      <c r="B11" s="21"/>
      <c r="C11" s="22"/>
      <c r="D11" s="21"/>
      <c r="E11" s="21"/>
      <c r="F11" s="21"/>
      <c r="G11" s="23">
        <f>IF(C11="","",SUM(C$8:C11))</f>
      </c>
    </row>
    <row r="12" spans="1:7" x14ac:dyDescent="0.25">
      <c r="A12" s="36">
        <v>5</v>
      </c>
      <c r="B12" s="21"/>
      <c r="C12" s="22"/>
      <c r="D12" s="21"/>
      <c r="E12" s="21"/>
      <c r="F12" s="21"/>
      <c r="G12" s="23">
        <f>IF(C12="","",SUM(C$8:C12))</f>
      </c>
    </row>
    <row r="13" spans="1:7" x14ac:dyDescent="0.25">
      <c r="A13" s="36">
        <v>6</v>
      </c>
      <c r="B13" s="21"/>
      <c r="C13" s="22"/>
      <c r="D13" s="21"/>
      <c r="E13" s="21"/>
      <c r="F13" s="21"/>
      <c r="G13" s="23">
        <f>IF(C13="","",SUM(C$8:C13))</f>
      </c>
    </row>
    <row r="14" spans="1:7" x14ac:dyDescent="0.25">
      <c r="A14" s="36">
        <v>7</v>
      </c>
      <c r="B14" s="21"/>
      <c r="C14" s="22"/>
      <c r="D14" s="21"/>
      <c r="E14" s="21"/>
      <c r="F14" s="21"/>
      <c r="G14" s="23">
        <f>IF(C14="","",SUM(C$8:C14))</f>
      </c>
    </row>
    <row r="15" spans="1:7" x14ac:dyDescent="0.25">
      <c r="A15" s="36">
        <v>8</v>
      </c>
      <c r="B15" s="21"/>
      <c r="C15" s="22"/>
      <c r="D15" s="21"/>
      <c r="E15" s="21"/>
      <c r="F15" s="21"/>
      <c r="G15" s="23">
        <f>IF(C15="","",SUM(C$8:C15))</f>
      </c>
    </row>
    <row r="16" spans="1:7" x14ac:dyDescent="0.25">
      <c r="A16" s="36">
        <v>9</v>
      </c>
      <c r="B16" s="21"/>
      <c r="C16" s="22"/>
      <c r="D16" s="21"/>
      <c r="E16" s="21"/>
      <c r="F16" s="21"/>
      <c r="G16" s="23">
        <f>IF(C16="","",SUM(C$8:C16))</f>
      </c>
    </row>
    <row r="17" spans="1:7" x14ac:dyDescent="0.25">
      <c r="A17" s="36">
        <v>10</v>
      </c>
      <c r="B17" s="21"/>
      <c r="C17" s="22"/>
      <c r="D17" s="21"/>
      <c r="E17" s="21"/>
      <c r="F17" s="21"/>
      <c r="G17" s="23">
        <f>IF(C17="","",SUM(C$8:C17))</f>
      </c>
    </row>
    <row r="18" spans="1:7" x14ac:dyDescent="0.25">
      <c r="A18" s="36">
        <v>11</v>
      </c>
      <c r="B18" s="21"/>
      <c r="C18" s="22"/>
      <c r="D18" s="21"/>
      <c r="E18" s="21"/>
      <c r="F18" s="21"/>
      <c r="G18" s="23">
        <f>IF(C18="","",SUM(C$8:C18))</f>
      </c>
    </row>
    <row r="19" spans="1:7" x14ac:dyDescent="0.25">
      <c r="A19" s="36">
        <v>12</v>
      </c>
      <c r="B19" s="21"/>
      <c r="C19" s="22"/>
      <c r="D19" s="21"/>
      <c r="E19" s="21"/>
      <c r="F19" s="21"/>
      <c r="G19" s="23">
        <f>IF(C19="","",SUM(C$8:C19))</f>
      </c>
    </row>
    <row r="20" spans="1:7" x14ac:dyDescent="0.25">
      <c r="A20" s="36">
        <v>13</v>
      </c>
      <c r="B20" s="21"/>
      <c r="C20" s="22"/>
      <c r="D20" s="21"/>
      <c r="E20" s="21"/>
      <c r="F20" s="21"/>
      <c r="G20" s="23">
        <f>IF(C20="","",SUM(C$8:C20))</f>
      </c>
    </row>
    <row r="21" spans="1:7" x14ac:dyDescent="0.25">
      <c r="A21" s="36">
        <v>14</v>
      </c>
      <c r="B21" s="21"/>
      <c r="C21" s="22"/>
      <c r="D21" s="21"/>
      <c r="E21" s="21"/>
      <c r="F21" s="21"/>
      <c r="G21" s="23">
        <f>IF(C21="","",SUM(C$8:C21))</f>
      </c>
    </row>
    <row r="22" spans="1:7" x14ac:dyDescent="0.25">
      <c r="A22" s="36">
        <v>15</v>
      </c>
      <c r="B22" s="21"/>
      <c r="C22" s="22"/>
      <c r="D22" s="21"/>
      <c r="E22" s="21"/>
      <c r="F22" s="21"/>
      <c r="G22" s="23">
        <f>IF(C22="","",SUM(C$8:C22))</f>
      </c>
    </row>
    <row r="24" spans="1:7" x14ac:dyDescent="0.25">
      <c r="A24" s="37"/>
      <c r="B24" s="38" t="s">
        <v>191</v>
      </c>
      <c r="C24" s="39">
        <f>SUM(C8:C22)</f>
      </c>
      <c r="D24" s="37"/>
      <c r="E24" s="37"/>
      <c r="F24" s="37"/>
      <c r="G24" s="37"/>
    </row>
    <row r="25" spans="1:7" x14ac:dyDescent="0.25">
      <c r="A25" s="20"/>
      <c r="B25" s="25" t="s">
        <v>192</v>
      </c>
      <c r="C25" s="23">
        <f>E4</f>
      </c>
      <c r="D25" s="20"/>
      <c r="E25" s="20"/>
      <c r="F25" s="20"/>
      <c r="G25" s="20"/>
    </row>
    <row r="26" ht="28" customHeight="1" spans="1:7" x14ac:dyDescent="0.25">
      <c r="A26" s="28"/>
      <c r="B26" s="27" t="s">
        <v>193</v>
      </c>
      <c r="C26" s="29">
        <f>E4+C24</f>
      </c>
      <c r="D26" s="28"/>
      <c r="E26" s="28"/>
      <c r="F26" s="28"/>
      <c r="G26" s="28"/>
    </row>
    <row r="28" spans="2:2" x14ac:dyDescent="0.25">
      <c r="B28" s="40" t="s">
        <v>194</v>
      </c>
    </row>
    <row r="29" spans="2:4" x14ac:dyDescent="0.25">
      <c r="B29" s="25" t="s">
        <v>195</v>
      </c>
      <c r="C29" s="20">
        <f>COUNTIF(F8:F22,"Pending")</f>
      </c>
      <c r="D29" s="23">
        <f>SUMIFS(C8:C22,F8:F22,"Pending")</f>
      </c>
    </row>
    <row r="30" spans="2:4" x14ac:dyDescent="0.25">
      <c r="B30" s="25" t="s">
        <v>196</v>
      </c>
      <c r="C30" s="20">
        <f>COUNTIF(F8:F22,"Approved")</f>
      </c>
      <c r="D30" s="23">
        <f>SUMIFS(C8:C22,F8:F22,"Approved")</f>
      </c>
    </row>
    <row r="31" spans="2:4" x14ac:dyDescent="0.25">
      <c r="B31" s="25" t="s">
        <v>197</v>
      </c>
      <c r="C31" s="20">
        <f>COUNTIF(F8:F22,"Rejected")</f>
      </c>
      <c r="D31" s="23">
        <f>SUMIFS(C8:C22,F8:F22,"Rejected")</f>
      </c>
    </row>
    <row r="32" spans="2:4" x14ac:dyDescent="0.25">
      <c r="B32" s="25" t="s">
        <v>198</v>
      </c>
      <c r="C32" s="20">
        <f>COUNTIF(F8:F22,"Completed")</f>
      </c>
      <c r="D32" s="23">
        <f>SUMIFS(C8:C22,F8:F22,"Completed")</f>
      </c>
    </row>
    <row r="35" spans="1:1" x14ac:dyDescent="0.25">
      <c r="A35" t="s">
        <v>176</v>
      </c>
    </row>
    <row r="36" spans="1:1" x14ac:dyDescent="0.25">
      <c r="A36" t="s">
        <v>177</v>
      </c>
    </row>
  </sheetData>
  <mergeCells count="2">
    <mergeCell ref="A1:G1"/>
    <mergeCell ref="A2:G2"/>
  </mergeCells>
  <dataValidations count="2">
    <dataValidation type="list" allowBlank="1" sqref="F10:F22">
      <formula1>"Pending,Approved,Rejected,Completed"</formula1>
    </dataValidation>
    <dataValidation type="list" allowBlank="1" sqref="F8:F22">
      <formula1>"Pending,Approved,Rejected,Completed"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9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199</v>
      </c>
      <c r="B1" s="1"/>
      <c r="C1" s="1"/>
      <c r="D1" s="1"/>
      <c r="E1" s="1"/>
      <c r="F1" s="1"/>
    </row>
    <row r="2" spans="1:6" x14ac:dyDescent="0.25">
      <c r="A2" s="11" t="s">
        <v>200</v>
      </c>
      <c r="B2" s="11"/>
      <c r="C2" s="11"/>
      <c r="D2" s="11"/>
      <c r="E2" s="11"/>
      <c r="F2" s="11"/>
    </row>
    <row r="4" spans="1:4" x14ac:dyDescent="0.25">
      <c r="A4" s="35" t="s">
        <v>56</v>
      </c>
      <c r="B4" s="21"/>
      <c r="C4" s="21"/>
      <c r="D4" s="21"/>
    </row>
    <row r="5" spans="1:4" x14ac:dyDescent="0.25">
      <c r="A5" s="35" t="s">
        <v>201</v>
      </c>
      <c r="B5" s="21"/>
      <c r="C5" s="35" t="s">
        <v>202</v>
      </c>
      <c r="D5" s="21"/>
    </row>
    <row r="7" ht="22" customHeight="1" spans="1:6" x14ac:dyDescent="0.25">
      <c r="A7" s="17" t="s">
        <v>203</v>
      </c>
      <c r="B7" s="18" t="s">
        <v>204</v>
      </c>
      <c r="C7" s="18" t="s">
        <v>189</v>
      </c>
      <c r="D7" s="18" t="s">
        <v>205</v>
      </c>
      <c r="E7" s="18" t="s">
        <v>206</v>
      </c>
      <c r="F7" s="18" t="s">
        <v>207</v>
      </c>
    </row>
    <row r="8" spans="1:6" x14ac:dyDescent="0.25">
      <c r="A8" s="36">
        <v>1</v>
      </c>
      <c r="B8" s="41" t="s">
        <v>208</v>
      </c>
      <c r="C8" s="21"/>
      <c r="D8" s="21"/>
      <c r="E8" s="21"/>
      <c r="F8" s="21"/>
    </row>
    <row r="9" spans="1:6" x14ac:dyDescent="0.25">
      <c r="A9" s="36">
        <v>2</v>
      </c>
      <c r="B9" s="41" t="s">
        <v>209</v>
      </c>
      <c r="C9" s="21"/>
      <c r="D9" s="21"/>
      <c r="E9" s="21"/>
      <c r="F9" s="21"/>
    </row>
    <row r="10" spans="1:6" x14ac:dyDescent="0.25">
      <c r="A10" s="36">
        <v>3</v>
      </c>
      <c r="B10" s="41" t="s">
        <v>210</v>
      </c>
      <c r="C10" s="21"/>
      <c r="D10" s="21"/>
      <c r="E10" s="21"/>
      <c r="F10" s="21"/>
    </row>
    <row r="11" spans="1:6" x14ac:dyDescent="0.25">
      <c r="A11" s="36">
        <v>4</v>
      </c>
      <c r="B11" s="41" t="s">
        <v>211</v>
      </c>
      <c r="C11" s="21"/>
      <c r="D11" s="21"/>
      <c r="E11" s="21"/>
      <c r="F11" s="21"/>
    </row>
    <row r="12" spans="1:6" x14ac:dyDescent="0.25">
      <c r="A12" s="36">
        <v>5</v>
      </c>
      <c r="B12" s="41" t="s">
        <v>212</v>
      </c>
      <c r="C12" s="21"/>
      <c r="D12" s="21"/>
      <c r="E12" s="21"/>
      <c r="F12" s="21"/>
    </row>
    <row r="13" spans="1:6" x14ac:dyDescent="0.25">
      <c r="A13" s="36">
        <v>6</v>
      </c>
      <c r="B13" s="41" t="s">
        <v>213</v>
      </c>
      <c r="C13" s="21"/>
      <c r="D13" s="21"/>
      <c r="E13" s="21"/>
      <c r="F13" s="21"/>
    </row>
    <row r="14" spans="1:6" x14ac:dyDescent="0.25">
      <c r="A14" s="36">
        <v>7</v>
      </c>
      <c r="B14" s="41" t="s">
        <v>214</v>
      </c>
      <c r="C14" s="21"/>
      <c r="D14" s="21"/>
      <c r="E14" s="21"/>
      <c r="F14" s="21"/>
    </row>
    <row r="15" spans="1:6" x14ac:dyDescent="0.25">
      <c r="A15" s="36">
        <v>8</v>
      </c>
      <c r="B15" s="41" t="s">
        <v>215</v>
      </c>
      <c r="C15" s="21"/>
      <c r="D15" s="21"/>
      <c r="E15" s="21"/>
      <c r="F15" s="21"/>
    </row>
    <row r="16" spans="1:6" x14ac:dyDescent="0.25">
      <c r="A16" s="36">
        <v>9</v>
      </c>
      <c r="B16" s="41" t="s">
        <v>216</v>
      </c>
      <c r="C16" s="21"/>
      <c r="D16" s="21"/>
      <c r="E16" s="21"/>
      <c r="F16" s="21"/>
    </row>
    <row r="17" spans="1:6" x14ac:dyDescent="0.25">
      <c r="A17" s="36">
        <v>10</v>
      </c>
      <c r="B17" s="41" t="s">
        <v>217</v>
      </c>
      <c r="C17" s="21"/>
      <c r="D17" s="21"/>
      <c r="E17" s="21"/>
      <c r="F17" s="21"/>
    </row>
    <row r="18" spans="1:6" x14ac:dyDescent="0.25">
      <c r="A18" s="36">
        <v>11</v>
      </c>
      <c r="B18" s="41" t="s">
        <v>218</v>
      </c>
      <c r="C18" s="21"/>
      <c r="D18" s="21"/>
      <c r="E18" s="21"/>
      <c r="F18" s="21"/>
    </row>
    <row r="19" spans="1:6" x14ac:dyDescent="0.25">
      <c r="A19" s="36">
        <v>12</v>
      </c>
      <c r="B19" s="41" t="s">
        <v>219</v>
      </c>
      <c r="C19" s="21"/>
      <c r="D19" s="21"/>
      <c r="E19" s="21"/>
      <c r="F19" s="21"/>
    </row>
    <row r="20" spans="1:6" x14ac:dyDescent="0.25">
      <c r="A20" s="36">
        <v>13</v>
      </c>
      <c r="B20" s="41" t="s">
        <v>220</v>
      </c>
      <c r="C20" s="21"/>
      <c r="D20" s="21"/>
      <c r="E20" s="21"/>
      <c r="F20" s="21"/>
    </row>
    <row r="21" spans="1:6" x14ac:dyDescent="0.25">
      <c r="A21" s="36">
        <v>14</v>
      </c>
      <c r="B21" s="41" t="s">
        <v>221</v>
      </c>
      <c r="C21" s="21"/>
      <c r="D21" s="21"/>
      <c r="E21" s="21"/>
      <c r="F21" s="21"/>
    </row>
    <row r="22" spans="1:6" x14ac:dyDescent="0.25">
      <c r="A22" s="36">
        <v>15</v>
      </c>
      <c r="B22" s="41" t="s">
        <v>222</v>
      </c>
      <c r="C22" s="21"/>
      <c r="D22" s="21"/>
      <c r="E22" s="21"/>
      <c r="F22" s="21"/>
    </row>
    <row r="23" spans="1:6" x14ac:dyDescent="0.25">
      <c r="A23" s="36">
        <v>16</v>
      </c>
      <c r="B23" s="41" t="s">
        <v>223</v>
      </c>
      <c r="C23" s="21"/>
      <c r="D23" s="21"/>
      <c r="E23" s="21"/>
      <c r="F23" s="21"/>
    </row>
    <row r="24" spans="1:6" x14ac:dyDescent="0.25">
      <c r="A24" s="36">
        <v>17</v>
      </c>
      <c r="B24" s="41" t="s">
        <v>224</v>
      </c>
      <c r="C24" s="21"/>
      <c r="D24" s="21"/>
      <c r="E24" s="21"/>
      <c r="F24" s="21"/>
    </row>
    <row r="25" spans="1:6" x14ac:dyDescent="0.25">
      <c r="A25" s="36">
        <v>18</v>
      </c>
      <c r="B25" s="41" t="s">
        <v>225</v>
      </c>
      <c r="C25" s="21"/>
      <c r="D25" s="21"/>
      <c r="E25" s="21"/>
      <c r="F25" s="21"/>
    </row>
    <row r="26" spans="1:6" x14ac:dyDescent="0.25">
      <c r="A26" s="36">
        <v>19</v>
      </c>
      <c r="B26" s="41" t="s">
        <v>226</v>
      </c>
      <c r="C26" s="21"/>
      <c r="D26" s="21"/>
      <c r="E26" s="21"/>
      <c r="F26" s="21"/>
    </row>
    <row r="28" spans="1:6" x14ac:dyDescent="0.25">
      <c r="A28" s="42" t="s">
        <v>227</v>
      </c>
      <c r="B28" s="42"/>
      <c r="C28" s="42"/>
      <c r="D28" s="42"/>
      <c r="E28" s="42"/>
      <c r="F28" s="42"/>
    </row>
    <row r="29" spans="1:6" x14ac:dyDescent="0.25">
      <c r="A29" s="19" t="s">
        <v>228</v>
      </c>
      <c r="B29" s="19" t="s">
        <v>229</v>
      </c>
      <c r="C29" s="19" t="s">
        <v>230</v>
      </c>
      <c r="D29" s="19" t="s">
        <v>231</v>
      </c>
      <c r="E29" s="19" t="s">
        <v>232</v>
      </c>
      <c r="F29" s="19" t="s">
        <v>188</v>
      </c>
    </row>
    <row r="30" spans="1:6" x14ac:dyDescent="0.25">
      <c r="A30" s="36" t="s">
        <v>233</v>
      </c>
      <c r="B30" s="43" t="s">
        <v>234</v>
      </c>
      <c r="C30" s="21"/>
      <c r="D30" s="20" t="s">
        <v>235</v>
      </c>
      <c r="E30" s="21"/>
      <c r="F30" s="21"/>
    </row>
    <row r="31" spans="1:6" x14ac:dyDescent="0.25">
      <c r="A31" s="36" t="s">
        <v>236</v>
      </c>
      <c r="B31" s="43" t="s">
        <v>237</v>
      </c>
      <c r="C31" s="21"/>
      <c r="D31" s="20" t="s">
        <v>238</v>
      </c>
      <c r="E31" s="21"/>
      <c r="F31" s="21"/>
    </row>
    <row r="32" spans="1:6" x14ac:dyDescent="0.25">
      <c r="A32" s="36" t="s">
        <v>239</v>
      </c>
      <c r="B32" s="43" t="s">
        <v>240</v>
      </c>
      <c r="C32" s="21"/>
      <c r="D32" s="20" t="s">
        <v>235</v>
      </c>
      <c r="E32" s="21"/>
      <c r="F32" s="21"/>
    </row>
    <row r="33" spans="1:6" x14ac:dyDescent="0.25">
      <c r="A33" s="36" t="s">
        <v>241</v>
      </c>
      <c r="B33" s="43" t="s">
        <v>242</v>
      </c>
      <c r="C33" s="21"/>
      <c r="D33" s="20" t="s">
        <v>243</v>
      </c>
      <c r="E33" s="21"/>
      <c r="F33" s="21"/>
    </row>
    <row r="34" spans="1:6" x14ac:dyDescent="0.25">
      <c r="A34" s="36" t="s">
        <v>244</v>
      </c>
      <c r="B34" s="43" t="s">
        <v>245</v>
      </c>
      <c r="C34" s="21"/>
      <c r="D34" s="20" t="s">
        <v>246</v>
      </c>
      <c r="E34" s="21"/>
      <c r="F34" s="21"/>
    </row>
    <row r="35" spans="1:6" x14ac:dyDescent="0.25">
      <c r="A35" s="36" t="s">
        <v>247</v>
      </c>
      <c r="B35" s="43" t="s">
        <v>248</v>
      </c>
      <c r="C35" s="21"/>
      <c r="D35" s="20" t="s">
        <v>249</v>
      </c>
      <c r="E35" s="21"/>
      <c r="F35" s="21"/>
    </row>
    <row r="36" spans="1:6" x14ac:dyDescent="0.25">
      <c r="A36" s="36" t="s">
        <v>250</v>
      </c>
      <c r="B36" s="43" t="s">
        <v>251</v>
      </c>
      <c r="C36" s="21"/>
      <c r="D36" s="20" t="s">
        <v>252</v>
      </c>
      <c r="E36" s="21"/>
      <c r="F36" s="21"/>
    </row>
    <row r="37" spans="1:6" x14ac:dyDescent="0.25">
      <c r="A37" s="36" t="s">
        <v>253</v>
      </c>
      <c r="B37" s="43" t="s">
        <v>254</v>
      </c>
      <c r="C37" s="21"/>
      <c r="D37" s="20" t="s">
        <v>255</v>
      </c>
      <c r="E37" s="21"/>
      <c r="F37" s="21"/>
    </row>
    <row r="38" spans="1:6" x14ac:dyDescent="0.25">
      <c r="A38" s="36" t="s">
        <v>256</v>
      </c>
      <c r="B38" s="43" t="s">
        <v>257</v>
      </c>
      <c r="C38" s="21"/>
      <c r="D38" s="20" t="s">
        <v>258</v>
      </c>
      <c r="E38" s="21"/>
      <c r="F38" s="21"/>
    </row>
    <row r="39" spans="1:6" x14ac:dyDescent="0.25">
      <c r="A39" s="36" t="s">
        <v>259</v>
      </c>
      <c r="B39" s="43" t="s">
        <v>260</v>
      </c>
      <c r="C39" s="21"/>
      <c r="D39" s="20" t="s">
        <v>261</v>
      </c>
      <c r="E39" s="21"/>
      <c r="F39" s="21"/>
    </row>
    <row r="40" spans="1:6" x14ac:dyDescent="0.25">
      <c r="A40" s="36">
        <v>11</v>
      </c>
      <c r="B40" s="21"/>
      <c r="C40" s="21"/>
      <c r="D40" s="21"/>
      <c r="E40" s="21"/>
      <c r="F40" s="21"/>
    </row>
    <row r="41" spans="1:6" x14ac:dyDescent="0.25">
      <c r="A41" s="36">
        <v>12</v>
      </c>
      <c r="B41" s="21"/>
      <c r="C41" s="21"/>
      <c r="D41" s="21"/>
      <c r="E41" s="21"/>
      <c r="F41" s="21"/>
    </row>
    <row r="42" spans="1:6" x14ac:dyDescent="0.25">
      <c r="A42" s="36">
        <v>13</v>
      </c>
      <c r="B42" s="21"/>
      <c r="C42" s="21"/>
      <c r="D42" s="21"/>
      <c r="E42" s="21"/>
      <c r="F42" s="21"/>
    </row>
    <row r="43" spans="1:6" x14ac:dyDescent="0.25">
      <c r="A43" s="36">
        <v>14</v>
      </c>
      <c r="B43" s="21"/>
      <c r="C43" s="21"/>
      <c r="D43" s="21"/>
      <c r="E43" s="21"/>
      <c r="F43" s="21"/>
    </row>
    <row r="44" spans="1:6" x14ac:dyDescent="0.25">
      <c r="A44" s="36">
        <v>15</v>
      </c>
      <c r="B44" s="21"/>
      <c r="C44" s="21"/>
      <c r="D44" s="21"/>
      <c r="E44" s="21"/>
      <c r="F44" s="21"/>
    </row>
    <row r="46" spans="1:6" x14ac:dyDescent="0.25">
      <c r="A46" s="33" t="s">
        <v>262</v>
      </c>
      <c r="B46" s="33"/>
      <c r="C46" s="33"/>
      <c r="D46" s="33"/>
      <c r="E46" s="33"/>
      <c r="F46" s="33"/>
    </row>
    <row r="47" spans="1:6" x14ac:dyDescent="0.25">
      <c r="A47" s="44"/>
      <c r="B47" s="44"/>
      <c r="C47" s="44"/>
      <c r="D47" s="44"/>
      <c r="E47" s="44"/>
      <c r="F47" s="44"/>
    </row>
    <row r="48" spans="1:6" x14ac:dyDescent="0.25">
      <c r="A48" s="44"/>
      <c r="B48" s="44"/>
      <c r="C48" s="44"/>
      <c r="D48" s="44"/>
      <c r="E48" s="44"/>
      <c r="F48" s="44"/>
    </row>
    <row r="49" spans="1:6" x14ac:dyDescent="0.25">
      <c r="A49" s="44"/>
      <c r="B49" s="44"/>
      <c r="C49" s="44"/>
      <c r="D49" s="44"/>
      <c r="E49" s="44"/>
      <c r="F49" s="44"/>
    </row>
  </sheetData>
  <mergeCells count="6">
    <mergeCell ref="A1:F1"/>
    <mergeCell ref="A2:F2"/>
    <mergeCell ref="B4:D4"/>
    <mergeCell ref="A28:F28"/>
    <mergeCell ref="A46:F46"/>
    <mergeCell ref="A47:F49"/>
  </mergeCells>
  <dataValidations count="2">
    <dataValidation type="list" allowBlank="1" sqref="C10:C26">
      <formula1>"✅ OK,⚠️ Issue,❌ Problem,N/A"</formula1>
    </dataValidation>
    <dataValidation type="list" allowBlank="1" sqref="C8:C26">
      <formula1>"✅ OK,⚠️ Issue,❌ Problem,N/A"</formula1>
    </dataValidation>
  </dataValidation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📝 Change Orders</vt:lpstr>
      <vt:lpstr>📍 Site Conditions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2026-03-08T13:25:53Z</dcterms:created>
  <dcterms:modified xsi:type="dcterms:W3CDTF">2026-03-08T13:25:53Z</dcterms:modified>
</cp:coreProperties>
</file>