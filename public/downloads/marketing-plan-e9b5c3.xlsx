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90-Day Marketing Plan" state="visible" r:id="rId5"/>
    <sheet sheetId="3" name="Lead Sources" state="visible" r:id="rId6"/>
    <sheet sheetId="4" name="Lead Tracker" state="visible" r:id="rId7"/>
    <sheet sheetId="5" name="Competitor Analysis" state="visible" r:id="rId8"/>
  </sheets>
  <calcPr calcId="171027"/>
</workbook>
</file>

<file path=xl/sharedStrings.xml><?xml version="1.0" encoding="utf-8"?>
<sst xmlns="http://schemas.openxmlformats.org/spreadsheetml/2006/main" count="347" uniqueCount="229">
  <si>
    <t>📋 HOW TO USE: 90-Day Marketing Plan</t>
  </si>
  <si>
    <t>ABOUT THIS TEMPLATE</t>
  </si>
  <si>
    <t>Complete 90-day marketing plan for concrete contractors. Includes daily task schedule, monthly metrics tracker, lead source tracking, and competitor analysis. Designed to take you from zero to a steady pipeline of leads.</t>
  </si>
  <si>
    <t>STEP-BY-STEP INSTRUCTIONS</t>
  </si>
  <si>
    <t>1.</t>
  </si>
  <si>
    <t>Fill in your company name and start date</t>
  </si>
  <si>
    <t>2.</t>
  </si>
  <si>
    <t>Work through tasks chronologically — each has a recommended day range</t>
  </si>
  <si>
    <t>3.</t>
  </si>
  <si>
    <t>Track your monthly metrics in the metrics section (yellow cells)</t>
  </si>
  <si>
    <t>4.</t>
  </si>
  <si>
    <t>Use the 'Lead Sources' sheet to track where each lead comes from</t>
  </si>
  <si>
    <t>5.</t>
  </si>
  <si>
    <t>Use the 'Competitor Analysis' sheet to understand your local market</t>
  </si>
  <si>
    <t>6.</t>
  </si>
  <si>
    <t>Review close rate and ROI formulas — they auto-calculate</t>
  </si>
  <si>
    <t>7.</t>
  </si>
  <si>
    <t>Adjust the plan based on what's working in your market</t>
  </si>
  <si>
    <t>🟡 YELLOW CELLS = Editable (enter your data here)</t>
  </si>
  <si>
    <t>📊 CELLS WITH FORMULAS (don't overwrite): Close Rate, ROI, and formula cells in metrics tracker</t>
  </si>
  <si>
    <t>✏️ EDITABLE CELLS: All yellow cells in metrics tracker, lead sources, competitor analysis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</si>
  <si>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</si>
  <si>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</si>
  <si>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</si>
  <si>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</si>
  <si>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</si>
  <si>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</si>
  <si>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</si>
  <si>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</si>
  <si>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</si>
  <si>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90-DAY MARKETING PLAN — CONCRETE CONTRACTOR</t>
  </si>
  <si>
    <t>From zero to a steady pipeline of leads in 90 days</t>
  </si>
  <si>
    <t>Company:</t>
  </si>
  <si>
    <t>Start Date:</t>
  </si>
  <si>
    <t>DAYS 1-30: FOUNDATION (Get Found Online)</t>
  </si>
  <si>
    <t>Day</t>
  </si>
  <si>
    <t>Task</t>
  </si>
  <si>
    <t>Channel</t>
  </si>
  <si>
    <t>Budget</t>
  </si>
  <si>
    <t>Priority</t>
  </si>
  <si>
    <t>Notes</t>
  </si>
  <si>
    <t>1-2</t>
  </si>
  <si>
    <t>Create/claim Google Business Profile</t>
  </si>
  <si>
    <t>Online</t>
  </si>
  <si>
    <t>$0</t>
  </si>
  <si>
    <t>Critical</t>
  </si>
  <si>
    <t>Search 'concrete contractor + your city'</t>
  </si>
  <si>
    <t>Set up Google Business categories &amp; services</t>
  </si>
  <si>
    <t>Primary: Concrete Contractor</t>
  </si>
  <si>
    <t>3-5</t>
  </si>
  <si>
    <t>Upload 20+ project photos to GBP</t>
  </si>
  <si>
    <t>Before/after, variety of work</t>
  </si>
  <si>
    <t>Write GBP business description (750 chars)</t>
  </si>
  <si>
    <t>High</t>
  </si>
  <si>
    <t>Include service area + specialties</t>
  </si>
  <si>
    <t>5-7</t>
  </si>
  <si>
    <t>Build or update website (5 pages min)</t>
  </si>
  <si>
    <t>$0-$500</t>
  </si>
  <si>
    <t>Home, Services, Gallery, About, Contact</t>
  </si>
  <si>
    <t>Make phone # large &amp; clickable on website</t>
  </si>
  <si>
    <t>Above the fold on every page</t>
  </si>
  <si>
    <t>7-10</t>
  </si>
  <si>
    <t>Set up Facebook business page</t>
  </si>
  <si>
    <t>Post 2-3 project photos</t>
  </si>
  <si>
    <t>Create Nextdoor business profile</t>
  </si>
  <si>
    <t>Best for residential leads</t>
  </si>
  <si>
    <t>10-14</t>
  </si>
  <si>
    <t>List on Yelp, Angi, HomeAdvisor</t>
  </si>
  <si>
    <t>$0-$100</t>
  </si>
  <si>
    <t>Medium</t>
  </si>
  <si>
    <t>Free listings to start</t>
  </si>
  <si>
    <t>14-21</t>
  </si>
  <si>
    <t>Ask first 5 clients for Google reviews</t>
  </si>
  <si>
    <t>Text them the direct review link</t>
  </si>
  <si>
    <t>21-30</t>
  </si>
  <si>
    <t>Order yard signs (50 minimum)</t>
  </si>
  <si>
    <t>Offline</t>
  </si>
  <si>
    <t>$100-$200</t>
  </si>
  <si>
    <t>Place at every job site</t>
  </si>
  <si>
    <t>Order business cards (500)</t>
  </si>
  <si>
    <t>$30-$50</t>
  </si>
  <si>
    <t>Clean design, phone # prominent</t>
  </si>
  <si>
    <t>DAYS 31-60: GROWTH (Start Generating Leads)</t>
  </si>
  <si>
    <t>31-35</t>
  </si>
  <si>
    <t>Start Google Ads ($500/mo budget)</t>
  </si>
  <si>
    <t>$500/mo</t>
  </si>
  <si>
    <t>Target: concrete contractor + city</t>
  </si>
  <si>
    <t>Set up call tracking number</t>
  </si>
  <si>
    <t>$30/mo</t>
  </si>
  <si>
    <t>Track which ads generate calls</t>
  </si>
  <si>
    <t>35-40</t>
  </si>
  <si>
    <t>Write 3 blog posts (local SEO)</t>
  </si>
  <si>
    <t>Target '[service] in [city]' keywords</t>
  </si>
  <si>
    <t>Post on Nextdoor &amp; Facebook weekly</t>
  </si>
  <si>
    <t>Project photos + tips</t>
  </si>
  <si>
    <t>40-45</t>
  </si>
  <si>
    <t>Door hanger campaign (after each job)</t>
  </si>
  <si>
    <t>$50</t>
  </si>
  <si>
    <t>Drop 50 hangers on the street</t>
  </si>
  <si>
    <t>Get vehicle lettering/magnets</t>
  </si>
  <si>
    <t>$200-$500</t>
  </si>
  <si>
    <t>Name, phone, 'Concrete Contractor'</t>
  </si>
  <si>
    <t>45-50</t>
  </si>
  <si>
    <t>Build referral program</t>
  </si>
  <si>
    <t>Both</t>
  </si>
  <si>
    <t>$100-$250/ref</t>
  </si>
  <si>
    <t>Offer cash for referrals</t>
  </si>
  <si>
    <t>Partner with local GCs for subwork</t>
  </si>
  <si>
    <t>Drop off cards at job sites</t>
  </si>
  <si>
    <t>50-55</t>
  </si>
  <si>
    <t>Get 10 total Google reviews</t>
  </si>
  <si>
    <t>Ask every single customer</t>
  </si>
  <si>
    <t>55-60</t>
  </si>
  <si>
    <t>Evaluate Google Ads performance</t>
  </si>
  <si>
    <t>Cost per lead &lt; $30 is good</t>
  </si>
  <si>
    <t>DAYS 61-90: ACCELERATION (Scale What Works)</t>
  </si>
  <si>
    <t>61-65</t>
  </si>
  <si>
    <t>Increase Google Ads budget if ROI positive</t>
  </si>
  <si>
    <t>Variable</t>
  </si>
  <si>
    <t>Scale winning keywords</t>
  </si>
  <si>
    <t>Start Facebook Ads ($200/mo)</t>
  </si>
  <si>
    <t>$200/mo</t>
  </si>
  <si>
    <t>Before/after photos perform best</t>
  </si>
  <si>
    <t>65-70</t>
  </si>
  <si>
    <t>Run Nextdoor neighborhood promotion</t>
  </si>
  <si>
    <t>$50-$100</t>
  </si>
  <si>
    <t>Seasonal offer works well</t>
  </si>
  <si>
    <t>Ask for referrals from ALL past clients</t>
  </si>
  <si>
    <t>Text or call personally</t>
  </si>
  <si>
    <t>70-75</t>
  </si>
  <si>
    <t>Write 3 more local SEO blog posts</t>
  </si>
  <si>
    <t>Address common customer questions</t>
  </si>
  <si>
    <t>Get listed with local BBB</t>
  </si>
  <si>
    <t>$400/yr</t>
  </si>
  <si>
    <t>Low</t>
  </si>
  <si>
    <t>Trust signal for some markets</t>
  </si>
  <si>
    <t>75-80</t>
  </si>
  <si>
    <t>Partner with concrete suppliers</t>
  </si>
  <si>
    <t>They get contractor referral requests</t>
  </si>
  <si>
    <t>80-85</t>
  </si>
  <si>
    <t>Consider vehicle wrap</t>
  </si>
  <si>
    <t>$1,500-$3,000</t>
  </si>
  <si>
    <t>Moving billboard 24/7</t>
  </si>
  <si>
    <t>85-90</t>
  </si>
  <si>
    <t>Hit 20+ Google reviews</t>
  </si>
  <si>
    <t>This alone beats most competitors</t>
  </si>
  <si>
    <t>Document your marketing ROI</t>
  </si>
  <si>
    <t>Track: leads, jobs, revenue per channel</t>
  </si>
  <si>
    <t>MONTHLY METRICS TRACKER</t>
  </si>
  <si>
    <t>Metric</t>
  </si>
  <si>
    <t>Month 1</t>
  </si>
  <si>
    <t>Month 2</t>
  </si>
  <si>
    <t>Month 3</t>
  </si>
  <si>
    <t>Target</t>
  </si>
  <si>
    <t>Google Business views</t>
  </si>
  <si>
    <t>500+/mo</t>
  </si>
  <si>
    <t>Website visitors</t>
  </si>
  <si>
    <t>300+/mo</t>
  </si>
  <si>
    <t>Phone calls received</t>
  </si>
  <si>
    <t>20+/mo</t>
  </si>
  <si>
    <t>Estimates given</t>
  </si>
  <si>
    <t>10+/mo</t>
  </si>
  <si>
    <t>Jobs won</t>
  </si>
  <si>
    <t>4+/mo</t>
  </si>
  <si>
    <t>Revenue</t>
  </si>
  <si>
    <t>$8,000+/mo</t>
  </si>
  <si>
    <t>Google reviews (total)</t>
  </si>
  <si>
    <t>20+</t>
  </si>
  <si>
    <t>Referrals received</t>
  </si>
  <si>
    <t>2+/mo</t>
  </si>
  <si>
    <t>Total ad spend</t>
  </si>
  <si>
    <t>&lt; 10% of revenue</t>
  </si>
  <si>
    <t>Cost per lead</t>
  </si>
  <si>
    <t>&lt; $30</t>
  </si>
  <si>
    <t>CALCULATED METRICS</t>
  </si>
  <si>
    <t>Close Rate (%)</t>
  </si>
  <si>
    <t>40%+</t>
  </si>
  <si>
    <t>Marketing ROI</t>
  </si>
  <si>
    <t>500%+</t>
  </si>
  <si>
    <t>LEAD SOURCE TRACKER</t>
  </si>
  <si>
    <t>Track where every lead comes from to know which marketing channels are working</t>
  </si>
  <si>
    <t>#</t>
  </si>
  <si>
    <t>Date</t>
  </si>
  <si>
    <t>Client Name</t>
  </si>
  <si>
    <t>Lead Source</t>
  </si>
  <si>
    <t>Est. Value</t>
  </si>
  <si>
    <t>Won (Y/N)</t>
  </si>
  <si>
    <t>Actual Revenue</t>
  </si>
  <si>
    <t>LEADS BY SOURCE SUMMARY</t>
  </si>
  <si>
    <t>Source</t>
  </si>
  <si>
    <t>Total Leads</t>
  </si>
  <si>
    <t>Leads Won</t>
  </si>
  <si>
    <t>Win Rate</t>
  </si>
  <si>
    <t>Total Revenue</t>
  </si>
  <si>
    <t>Google Search</t>
  </si>
  <si>
    <t>Google Ads</t>
  </si>
  <si>
    <t>Facebook</t>
  </si>
  <si>
    <t>Nextdoor</t>
  </si>
  <si>
    <t>Referral</t>
  </si>
  <si>
    <t>Yard Sign</t>
  </si>
  <si>
    <t>Door Hanger</t>
  </si>
  <si>
    <t>Angi/HomeAdvisor</t>
  </si>
  <si>
    <t>Website</t>
  </si>
  <si>
    <t>Other</t>
  </si>
  <si>
    <t>LEAD TRACKER</t>
  </si>
  <si>
    <t>Log every lead — track from first contact to won/lost. Know your pipeline at a glance.</t>
  </si>
  <si>
    <t>Project Type</t>
  </si>
  <si>
    <t>Status</t>
  </si>
  <si>
    <t>PIPELINE SUMMARY</t>
  </si>
  <si>
    <t/>
  </si>
  <si>
    <t>New Leads</t>
  </si>
  <si>
    <t>Quoted</t>
  </si>
  <si>
    <t>Won</t>
  </si>
  <si>
    <t>Lost</t>
  </si>
  <si>
    <t>Pipeline Value (Quoted)</t>
  </si>
  <si>
    <t>Won Revenue</t>
  </si>
  <si>
    <t>LOCAL COMPETITOR ANALYSIS</t>
  </si>
  <si>
    <t>Know your competition — research the top contractors in your area</t>
  </si>
  <si>
    <t>Competitor Name</t>
  </si>
  <si>
    <t>Google Reviews</t>
  </si>
  <si>
    <t>Avg Rating</t>
  </si>
  <si>
    <t>Price Level</t>
  </si>
  <si>
    <t>Notes / Strengths</t>
  </si>
  <si>
    <t>COMPETITIVE ADVANTAGE ANALYSIS</t>
  </si>
  <si>
    <t>What do you do better than competitors?</t>
  </si>
  <si>
    <t>What do competitors do better than you?</t>
  </si>
  <si>
    <t>What pricing gaps exist in the market?</t>
  </si>
  <si>
    <t>Which services are underserved in your area?</t>
  </si>
  <si>
    <t>What's your unique selling proposition (USP)?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</si>
</sst>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5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4"/>
    </font>
    <font>
      <b/>
    </font>
    <font>
      <b/>
      <color rgb="FFFFFFFF"/>
      <sz val="11"/>
    </font>
    <font>
      <b/>
      <color rgb="FFDC2626"/>
    </font>
    <font>
      <b/>
      <color rgb="FFF59E0B"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2" fillId="3" borderId="0" xfId="0" applyFont="1" applyFill="1"/>
    <xf numFmtId="0" fontId="4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3" fillId="0" borderId="1" xfId="0" applyFont="1" applyBorder="1"/>
    <xf numFmtId="0" fontId="14" fillId="0" borderId="1" xfId="0" applyFont="1" applyBorder="1"/>
    <xf numFmtId="0" fontId="11" fillId="0" borderId="1" xfId="0" applyFont="1" applyBorder="1"/>
    <xf numFmtId="0" fontId="0" fillId="2" borderId="1" xfId="0" applyFill="1" applyBorder="1"/>
    <xf numFmtId="9" fontId="0" fillId="0" borderId="1" xfId="0" applyNumberFormat="1" applyBorder="1"/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0" fillId="0" borderId="1" xfId="0" applyNumberFormat="1" applyBorder="1"/>
    <xf numFmtId="164" fontId="11" fillId="0" borderId="1" xfId="0" applyNumberFormat="1" applyFont="1" applyBorder="1"/>
    <xf numFmtId="9" fontId="11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2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5" spans="1:2" x14ac:dyDescent="0.25">
      <c r="A15" s="5" t="s">
        <v>18</v>
      </c>
      <c r="B15" s="5"/>
    </row>
    <row r="16" spans="1:2" x14ac:dyDescent="0.25">
      <c r="A16" s="6" t="s">
        <v>19</v>
      </c>
      <c r="B16" s="6"/>
    </row>
    <row r="17" spans="1:2" x14ac:dyDescent="0.25">
      <c r="A17" s="7" t="s">
        <v>20</v>
      </c>
      <c r="B17" s="7"/>
    </row>
    <row r="19" spans="1:2" x14ac:dyDescent="0.25">
      <c r="A19" s="2" t="s">
        <v>21</v>
      </c>
      <c r="B19" s="2"/>
    </row>
    <row r="20" spans="1:2" x14ac:dyDescent="0.25">
      <c r="A20" s="8" t="s">
        <v>22</v>
      </c>
      <c r="B20" s="8"/>
    </row>
    <row r="21" spans="1:2" x14ac:dyDescent="0.25">
      <c r="A21" s="8" t="s">
        <v>23</v>
      </c>
      <c r="B21" s="8"/>
    </row>
    <row r="22" spans="1:2" x14ac:dyDescent="0.25">
      <c r="A22" s="8" t="s">
        <v>24</v>
      </c>
      <c r="B22" s="8"/>
    </row>
    <row r="23" spans="1:2" x14ac:dyDescent="0.25">
      <c r="A23" s="8" t="s">
        <v>25</v>
      </c>
      <c r="B23" s="8"/>
    </row>
    <row r="24" spans="1:2" x14ac:dyDescent="0.25">
      <c r="A24" s="8" t="s">
        <v>26</v>
      </c>
      <c r="B24" s="8"/>
    </row>
    <row r="25" spans="1:2" x14ac:dyDescent="0.25">
      <c r="A25" s="8" t="s">
        <v>27</v>
      </c>
      <c r="B25" s="8"/>
    </row>
    <row r="27" spans="1:2" x14ac:dyDescent="0.25">
      <c r="A27" s="9" t="s">
        <v>28</v>
      </c>
      <c r="B27" s="9"/>
    </row>
    <row r="28" spans="1:2" x14ac:dyDescent="0.25">
      <c r="A28" s="10" t="s">
        <v>29</v>
      </c>
      <c r="B28" s="10"/>
    </row>
  </sheetData>
  <mergeCells count="16">
    <mergeCell ref="A1:B1"/>
    <mergeCell ref="A3:B3"/>
    <mergeCell ref="A4:B4"/>
    <mergeCell ref="A6:B6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FormatPr defaultRowHeight="15" outlineLevelRow="0" outlineLevelCol="0" x14ac:dyDescent="55"/>
  <cols>
    <col min="1" max="1" width="8" customWidth="1"/>
    <col min="2" max="2" width="30" customWidth="1"/>
    <col min="3" max="3" width="16" customWidth="1"/>
    <col min="4" max="5" width="14" customWidth="1"/>
    <col min="6" max="6" width="24" customWidth="1"/>
  </cols>
  <sheetData>
    <row r="1" ht="28" customHeight="1" spans="1:6" x14ac:dyDescent="0.25">
      <c r="A1" s="11" t="s">
        <v>30</v>
      </c>
      <c r="B1" s="11"/>
      <c r="C1" s="11"/>
      <c r="D1" s="11"/>
      <c r="E1" s="11"/>
      <c r="F1" s="11"/>
    </row>
    <row r="2" spans="1:6" x14ac:dyDescent="0.25">
      <c r="A2" s="10" t="s">
        <v>31</v>
      </c>
      <c r="B2" s="10"/>
      <c r="C2" s="10"/>
      <c r="D2" s="10"/>
      <c r="E2" s="10"/>
      <c r="F2" s="10"/>
    </row>
    <row r="3" spans="1:4" x14ac:dyDescent="0.25">
      <c r="A3" s="12" t="s">
        <v>32</v>
      </c>
      <c r="B3" s="13"/>
      <c r="C3" s="12" t="s">
        <v>33</v>
      </c>
      <c r="D3" s="13"/>
    </row>
    <row r="5" spans="1:6" x14ac:dyDescent="0.25">
      <c r="A5" s="14" t="s">
        <v>34</v>
      </c>
      <c r="B5" s="14"/>
      <c r="C5" s="14"/>
      <c r="D5" s="14"/>
      <c r="E5" s="14"/>
      <c r="F5" s="14"/>
    </row>
    <row r="6" spans="1:6" x14ac:dyDescent="0.25">
      <c r="A6" s="15" t="s">
        <v>35</v>
      </c>
      <c r="B6" s="15" t="s">
        <v>36</v>
      </c>
      <c r="C6" s="15" t="s">
        <v>37</v>
      </c>
      <c r="D6" s="15" t="s">
        <v>38</v>
      </c>
      <c r="E6" s="15" t="s">
        <v>39</v>
      </c>
      <c r="F6" s="15" t="s">
        <v>40</v>
      </c>
    </row>
    <row r="7" spans="1:6" x14ac:dyDescent="0.25">
      <c r="A7" s="16" t="s">
        <v>41</v>
      </c>
      <c r="B7" s="17" t="s">
        <v>42</v>
      </c>
      <c r="C7" s="17" t="s">
        <v>43</v>
      </c>
      <c r="D7" s="17" t="s">
        <v>44</v>
      </c>
      <c r="E7" s="18" t="s">
        <v>45</v>
      </c>
      <c r="F7" s="17" t="s">
        <v>46</v>
      </c>
    </row>
    <row r="8" spans="1:6" x14ac:dyDescent="0.25">
      <c r="A8" s="16" t="s">
        <v>41</v>
      </c>
      <c r="B8" s="17" t="s">
        <v>47</v>
      </c>
      <c r="C8" s="17" t="s">
        <v>43</v>
      </c>
      <c r="D8" s="17" t="s">
        <v>44</v>
      </c>
      <c r="E8" s="18" t="s">
        <v>45</v>
      </c>
      <c r="F8" s="17" t="s">
        <v>48</v>
      </c>
    </row>
    <row r="9" spans="1:6" x14ac:dyDescent="0.25">
      <c r="A9" s="16" t="s">
        <v>49</v>
      </c>
      <c r="B9" s="17" t="s">
        <v>50</v>
      </c>
      <c r="C9" s="17" t="s">
        <v>43</v>
      </c>
      <c r="D9" s="17" t="s">
        <v>44</v>
      </c>
      <c r="E9" s="18" t="s">
        <v>45</v>
      </c>
      <c r="F9" s="17" t="s">
        <v>51</v>
      </c>
    </row>
    <row r="10" spans="1:6" x14ac:dyDescent="0.25">
      <c r="A10" s="16" t="s">
        <v>49</v>
      </c>
      <c r="B10" s="17" t="s">
        <v>52</v>
      </c>
      <c r="C10" s="17" t="s">
        <v>43</v>
      </c>
      <c r="D10" s="17" t="s">
        <v>44</v>
      </c>
      <c r="E10" s="19" t="s">
        <v>53</v>
      </c>
      <c r="F10" s="17" t="s">
        <v>54</v>
      </c>
    </row>
    <row r="11" spans="1:6" x14ac:dyDescent="0.25">
      <c r="A11" s="16" t="s">
        <v>55</v>
      </c>
      <c r="B11" s="17" t="s">
        <v>56</v>
      </c>
      <c r="C11" s="17" t="s">
        <v>43</v>
      </c>
      <c r="D11" s="17" t="s">
        <v>57</v>
      </c>
      <c r="E11" s="18" t="s">
        <v>45</v>
      </c>
      <c r="F11" s="17" t="s">
        <v>58</v>
      </c>
    </row>
    <row r="12" spans="1:6" x14ac:dyDescent="0.25">
      <c r="A12" s="16" t="s">
        <v>55</v>
      </c>
      <c r="B12" s="17" t="s">
        <v>59</v>
      </c>
      <c r="C12" s="17" t="s">
        <v>43</v>
      </c>
      <c r="D12" s="17" t="s">
        <v>44</v>
      </c>
      <c r="E12" s="18" t="s">
        <v>45</v>
      </c>
      <c r="F12" s="17" t="s">
        <v>60</v>
      </c>
    </row>
    <row r="13" spans="1:6" x14ac:dyDescent="0.25">
      <c r="A13" s="16" t="s">
        <v>61</v>
      </c>
      <c r="B13" s="17" t="s">
        <v>62</v>
      </c>
      <c r="C13" s="17" t="s">
        <v>43</v>
      </c>
      <c r="D13" s="17" t="s">
        <v>44</v>
      </c>
      <c r="E13" s="19" t="s">
        <v>53</v>
      </c>
      <c r="F13" s="17" t="s">
        <v>63</v>
      </c>
    </row>
    <row r="14" spans="1:6" x14ac:dyDescent="0.25">
      <c r="A14" s="16" t="s">
        <v>61</v>
      </c>
      <c r="B14" s="17" t="s">
        <v>64</v>
      </c>
      <c r="C14" s="17" t="s">
        <v>43</v>
      </c>
      <c r="D14" s="17" t="s">
        <v>44</v>
      </c>
      <c r="E14" s="19" t="s">
        <v>53</v>
      </c>
      <c r="F14" s="17" t="s">
        <v>65</v>
      </c>
    </row>
    <row r="15" spans="1:6" x14ac:dyDescent="0.25">
      <c r="A15" s="16" t="s">
        <v>66</v>
      </c>
      <c r="B15" s="17" t="s">
        <v>67</v>
      </c>
      <c r="C15" s="17" t="s">
        <v>43</v>
      </c>
      <c r="D15" s="17" t="s">
        <v>68</v>
      </c>
      <c r="E15" s="17" t="s">
        <v>69</v>
      </c>
      <c r="F15" s="17" t="s">
        <v>70</v>
      </c>
    </row>
    <row r="16" spans="1:6" x14ac:dyDescent="0.25">
      <c r="A16" s="16" t="s">
        <v>71</v>
      </c>
      <c r="B16" s="17" t="s">
        <v>72</v>
      </c>
      <c r="C16" s="17" t="s">
        <v>43</v>
      </c>
      <c r="D16" s="17" t="s">
        <v>44</v>
      </c>
      <c r="E16" s="18" t="s">
        <v>45</v>
      </c>
      <c r="F16" s="17" t="s">
        <v>73</v>
      </c>
    </row>
    <row r="17" spans="1:6" x14ac:dyDescent="0.25">
      <c r="A17" s="16" t="s">
        <v>74</v>
      </c>
      <c r="B17" s="17" t="s">
        <v>75</v>
      </c>
      <c r="C17" s="17" t="s">
        <v>76</v>
      </c>
      <c r="D17" s="17" t="s">
        <v>77</v>
      </c>
      <c r="E17" s="19" t="s">
        <v>53</v>
      </c>
      <c r="F17" s="17" t="s">
        <v>78</v>
      </c>
    </row>
    <row r="18" spans="1:6" x14ac:dyDescent="0.25">
      <c r="A18" s="16" t="s">
        <v>74</v>
      </c>
      <c r="B18" s="17" t="s">
        <v>79</v>
      </c>
      <c r="C18" s="17" t="s">
        <v>76</v>
      </c>
      <c r="D18" s="17" t="s">
        <v>80</v>
      </c>
      <c r="E18" s="17" t="s">
        <v>69</v>
      </c>
      <c r="F18" s="17" t="s">
        <v>81</v>
      </c>
    </row>
    <row r="20" spans="1:6" x14ac:dyDescent="0.25">
      <c r="A20" s="14" t="s">
        <v>82</v>
      </c>
      <c r="B20" s="14"/>
      <c r="C20" s="14"/>
      <c r="D20" s="14"/>
      <c r="E20" s="14"/>
      <c r="F20" s="14"/>
    </row>
    <row r="21" spans="1:6" x14ac:dyDescent="0.25">
      <c r="A21" s="15" t="s">
        <v>35</v>
      </c>
      <c r="B21" s="15" t="s">
        <v>36</v>
      </c>
      <c r="C21" s="15" t="s">
        <v>37</v>
      </c>
      <c r="D21" s="15" t="s">
        <v>38</v>
      </c>
      <c r="E21" s="15" t="s">
        <v>39</v>
      </c>
      <c r="F21" s="15" t="s">
        <v>40</v>
      </c>
    </row>
    <row r="22" spans="1:6" x14ac:dyDescent="0.25">
      <c r="A22" s="16" t="s">
        <v>83</v>
      </c>
      <c r="B22" s="17" t="s">
        <v>84</v>
      </c>
      <c r="C22" s="17" t="s">
        <v>43</v>
      </c>
      <c r="D22" s="17" t="s">
        <v>85</v>
      </c>
      <c r="E22" s="19" t="s">
        <v>53</v>
      </c>
      <c r="F22" s="17" t="s">
        <v>86</v>
      </c>
    </row>
    <row r="23" spans="1:6" x14ac:dyDescent="0.25">
      <c r="A23" s="16" t="s">
        <v>83</v>
      </c>
      <c r="B23" s="17" t="s">
        <v>87</v>
      </c>
      <c r="C23" s="17" t="s">
        <v>43</v>
      </c>
      <c r="D23" s="17" t="s">
        <v>88</v>
      </c>
      <c r="E23" s="19" t="s">
        <v>53</v>
      </c>
      <c r="F23" s="17" t="s">
        <v>89</v>
      </c>
    </row>
    <row r="24" spans="1:6" x14ac:dyDescent="0.25">
      <c r="A24" s="16" t="s">
        <v>90</v>
      </c>
      <c r="B24" s="17" t="s">
        <v>91</v>
      </c>
      <c r="C24" s="17" t="s">
        <v>43</v>
      </c>
      <c r="D24" s="17" t="s">
        <v>44</v>
      </c>
      <c r="E24" s="17" t="s">
        <v>69</v>
      </c>
      <c r="F24" s="17" t="s">
        <v>92</v>
      </c>
    </row>
    <row r="25" spans="1:6" x14ac:dyDescent="0.25">
      <c r="A25" s="16" t="s">
        <v>90</v>
      </c>
      <c r="B25" s="17" t="s">
        <v>93</v>
      </c>
      <c r="C25" s="17" t="s">
        <v>43</v>
      </c>
      <c r="D25" s="17" t="s">
        <v>44</v>
      </c>
      <c r="E25" s="17" t="s">
        <v>69</v>
      </c>
      <c r="F25" s="17" t="s">
        <v>94</v>
      </c>
    </row>
    <row r="26" spans="1:6" x14ac:dyDescent="0.25">
      <c r="A26" s="16" t="s">
        <v>95</v>
      </c>
      <c r="B26" s="17" t="s">
        <v>96</v>
      </c>
      <c r="C26" s="17" t="s">
        <v>76</v>
      </c>
      <c r="D26" s="17" t="s">
        <v>97</v>
      </c>
      <c r="E26" s="19" t="s">
        <v>53</v>
      </c>
      <c r="F26" s="17" t="s">
        <v>98</v>
      </c>
    </row>
    <row r="27" spans="1:6" x14ac:dyDescent="0.25">
      <c r="A27" s="16" t="s">
        <v>95</v>
      </c>
      <c r="B27" s="17" t="s">
        <v>99</v>
      </c>
      <c r="C27" s="17" t="s">
        <v>76</v>
      </c>
      <c r="D27" s="17" t="s">
        <v>100</v>
      </c>
      <c r="E27" s="17" t="s">
        <v>69</v>
      </c>
      <c r="F27" s="17" t="s">
        <v>101</v>
      </c>
    </row>
    <row r="28" spans="1:6" x14ac:dyDescent="0.25">
      <c r="A28" s="16" t="s">
        <v>102</v>
      </c>
      <c r="B28" s="17" t="s">
        <v>103</v>
      </c>
      <c r="C28" s="17" t="s">
        <v>104</v>
      </c>
      <c r="D28" s="17" t="s">
        <v>105</v>
      </c>
      <c r="E28" s="19" t="s">
        <v>53</v>
      </c>
      <c r="F28" s="17" t="s">
        <v>106</v>
      </c>
    </row>
    <row r="29" spans="1:6" x14ac:dyDescent="0.25">
      <c r="A29" s="16" t="s">
        <v>102</v>
      </c>
      <c r="B29" s="17" t="s">
        <v>107</v>
      </c>
      <c r="C29" s="17" t="s">
        <v>76</v>
      </c>
      <c r="D29" s="17" t="s">
        <v>44</v>
      </c>
      <c r="E29" s="19" t="s">
        <v>53</v>
      </c>
      <c r="F29" s="17" t="s">
        <v>108</v>
      </c>
    </row>
    <row r="30" spans="1:6" x14ac:dyDescent="0.25">
      <c r="A30" s="16" t="s">
        <v>109</v>
      </c>
      <c r="B30" s="17" t="s">
        <v>110</v>
      </c>
      <c r="C30" s="17" t="s">
        <v>43</v>
      </c>
      <c r="D30" s="17" t="s">
        <v>44</v>
      </c>
      <c r="E30" s="18" t="s">
        <v>45</v>
      </c>
      <c r="F30" s="17" t="s">
        <v>111</v>
      </c>
    </row>
    <row r="31" spans="1:6" x14ac:dyDescent="0.25">
      <c r="A31" s="16" t="s">
        <v>112</v>
      </c>
      <c r="B31" s="17" t="s">
        <v>113</v>
      </c>
      <c r="C31" s="17" t="s">
        <v>43</v>
      </c>
      <c r="D31" s="17" t="s">
        <v>44</v>
      </c>
      <c r="E31" s="19" t="s">
        <v>53</v>
      </c>
      <c r="F31" s="17" t="s">
        <v>114</v>
      </c>
    </row>
    <row r="33" spans="1:6" x14ac:dyDescent="0.25">
      <c r="A33" s="14" t="s">
        <v>115</v>
      </c>
      <c r="B33" s="14"/>
      <c r="C33" s="14"/>
      <c r="D33" s="14"/>
      <c r="E33" s="14"/>
      <c r="F33" s="14"/>
    </row>
    <row r="34" spans="1:6" x14ac:dyDescent="0.25">
      <c r="A34" s="15" t="s">
        <v>35</v>
      </c>
      <c r="B34" s="15" t="s">
        <v>36</v>
      </c>
      <c r="C34" s="15" t="s">
        <v>37</v>
      </c>
      <c r="D34" s="15" t="s">
        <v>38</v>
      </c>
      <c r="E34" s="15" t="s">
        <v>39</v>
      </c>
      <c r="F34" s="15" t="s">
        <v>40</v>
      </c>
    </row>
    <row r="35" spans="1:6" x14ac:dyDescent="0.25">
      <c r="A35" s="16" t="s">
        <v>116</v>
      </c>
      <c r="B35" s="17" t="s">
        <v>117</v>
      </c>
      <c r="C35" s="17" t="s">
        <v>43</v>
      </c>
      <c r="D35" s="17" t="s">
        <v>118</v>
      </c>
      <c r="E35" s="19" t="s">
        <v>53</v>
      </c>
      <c r="F35" s="17" t="s">
        <v>119</v>
      </c>
    </row>
    <row r="36" spans="1:6" x14ac:dyDescent="0.25">
      <c r="A36" s="16" t="s">
        <v>116</v>
      </c>
      <c r="B36" s="17" t="s">
        <v>120</v>
      </c>
      <c r="C36" s="17" t="s">
        <v>43</v>
      </c>
      <c r="D36" s="17" t="s">
        <v>121</v>
      </c>
      <c r="E36" s="17" t="s">
        <v>69</v>
      </c>
      <c r="F36" s="17" t="s">
        <v>122</v>
      </c>
    </row>
    <row r="37" spans="1:6" x14ac:dyDescent="0.25">
      <c r="A37" s="16" t="s">
        <v>123</v>
      </c>
      <c r="B37" s="17" t="s">
        <v>124</v>
      </c>
      <c r="C37" s="17" t="s">
        <v>43</v>
      </c>
      <c r="D37" s="17" t="s">
        <v>125</v>
      </c>
      <c r="E37" s="17" t="s">
        <v>69</v>
      </c>
      <c r="F37" s="17" t="s">
        <v>126</v>
      </c>
    </row>
    <row r="38" spans="1:6" x14ac:dyDescent="0.25">
      <c r="A38" s="16" t="s">
        <v>123</v>
      </c>
      <c r="B38" s="17" t="s">
        <v>127</v>
      </c>
      <c r="C38" s="17" t="s">
        <v>104</v>
      </c>
      <c r="D38" s="17" t="s">
        <v>44</v>
      </c>
      <c r="E38" s="19" t="s">
        <v>53</v>
      </c>
      <c r="F38" s="17" t="s">
        <v>128</v>
      </c>
    </row>
    <row r="39" spans="1:6" x14ac:dyDescent="0.25">
      <c r="A39" s="16" t="s">
        <v>129</v>
      </c>
      <c r="B39" s="17" t="s">
        <v>130</v>
      </c>
      <c r="C39" s="17" t="s">
        <v>43</v>
      </c>
      <c r="D39" s="17" t="s">
        <v>44</v>
      </c>
      <c r="E39" s="17" t="s">
        <v>69</v>
      </c>
      <c r="F39" s="17" t="s">
        <v>131</v>
      </c>
    </row>
    <row r="40" spans="1:6" x14ac:dyDescent="0.25">
      <c r="A40" s="16" t="s">
        <v>129</v>
      </c>
      <c r="B40" s="17" t="s">
        <v>132</v>
      </c>
      <c r="C40" s="17" t="s">
        <v>43</v>
      </c>
      <c r="D40" s="17" t="s">
        <v>133</v>
      </c>
      <c r="E40" s="17" t="s">
        <v>134</v>
      </c>
      <c r="F40" s="17" t="s">
        <v>135</v>
      </c>
    </row>
    <row r="41" spans="1:6" x14ac:dyDescent="0.25">
      <c r="A41" s="16" t="s">
        <v>136</v>
      </c>
      <c r="B41" s="17" t="s">
        <v>137</v>
      </c>
      <c r="C41" s="17" t="s">
        <v>76</v>
      </c>
      <c r="D41" s="17" t="s">
        <v>44</v>
      </c>
      <c r="E41" s="17" t="s">
        <v>69</v>
      </c>
      <c r="F41" s="17" t="s">
        <v>138</v>
      </c>
    </row>
    <row r="42" spans="1:6" x14ac:dyDescent="0.25">
      <c r="A42" s="16" t="s">
        <v>139</v>
      </c>
      <c r="B42" s="17" t="s">
        <v>140</v>
      </c>
      <c r="C42" s="17" t="s">
        <v>76</v>
      </c>
      <c r="D42" s="17" t="s">
        <v>141</v>
      </c>
      <c r="E42" s="17" t="s">
        <v>69</v>
      </c>
      <c r="F42" s="17" t="s">
        <v>142</v>
      </c>
    </row>
    <row r="43" spans="1:6" x14ac:dyDescent="0.25">
      <c r="A43" s="16" t="s">
        <v>143</v>
      </c>
      <c r="B43" s="17" t="s">
        <v>144</v>
      </c>
      <c r="C43" s="17" t="s">
        <v>43</v>
      </c>
      <c r="D43" s="17" t="s">
        <v>44</v>
      </c>
      <c r="E43" s="18" t="s">
        <v>45</v>
      </c>
      <c r="F43" s="17" t="s">
        <v>145</v>
      </c>
    </row>
    <row r="44" spans="1:6" x14ac:dyDescent="0.25">
      <c r="A44" s="16" t="s">
        <v>143</v>
      </c>
      <c r="B44" s="17" t="s">
        <v>146</v>
      </c>
      <c r="C44" s="17" t="s">
        <v>104</v>
      </c>
      <c r="D44" s="17" t="s">
        <v>44</v>
      </c>
      <c r="E44" s="19" t="s">
        <v>53</v>
      </c>
      <c r="F44" s="17" t="s">
        <v>147</v>
      </c>
    </row>
    <row r="46" spans="1:6" x14ac:dyDescent="0.25">
      <c r="A46" s="14" t="s">
        <v>148</v>
      </c>
      <c r="B46" s="14"/>
      <c r="C46" s="14"/>
      <c r="D46" s="14"/>
      <c r="E46" s="14"/>
      <c r="F46" s="14"/>
    </row>
    <row r="47" spans="1:6" x14ac:dyDescent="0.25">
      <c r="A47" s="15" t="s">
        <v>149</v>
      </c>
      <c r="B47" s="15" t="s">
        <v>150</v>
      </c>
      <c r="C47" s="15" t="s">
        <v>151</v>
      </c>
      <c r="D47" s="15" t="s">
        <v>152</v>
      </c>
      <c r="E47" s="15" t="s">
        <v>153</v>
      </c>
      <c r="F47" s="15" t="s">
        <v>40</v>
      </c>
    </row>
    <row r="48" spans="1:6" x14ac:dyDescent="0.25">
      <c r="A48" s="20" t="s">
        <v>154</v>
      </c>
      <c r="B48" s="21"/>
      <c r="C48" s="21"/>
      <c r="D48" s="21"/>
      <c r="E48" s="17" t="s">
        <v>155</v>
      </c>
      <c r="F48" s="17"/>
    </row>
    <row r="49" spans="1:6" x14ac:dyDescent="0.25">
      <c r="A49" s="20" t="s">
        <v>156</v>
      </c>
      <c r="B49" s="21"/>
      <c r="C49" s="21"/>
      <c r="D49" s="21"/>
      <c r="E49" s="17" t="s">
        <v>157</v>
      </c>
      <c r="F49" s="17"/>
    </row>
    <row r="50" spans="1:6" x14ac:dyDescent="0.25">
      <c r="A50" s="20" t="s">
        <v>158</v>
      </c>
      <c r="B50" s="21"/>
      <c r="C50" s="21"/>
      <c r="D50" s="21"/>
      <c r="E50" s="17" t="s">
        <v>159</v>
      </c>
      <c r="F50" s="17"/>
    </row>
    <row r="51" spans="1:6" x14ac:dyDescent="0.25">
      <c r="A51" s="20" t="s">
        <v>160</v>
      </c>
      <c r="B51" s="21"/>
      <c r="C51" s="21"/>
      <c r="D51" s="21"/>
      <c r="E51" s="17" t="s">
        <v>161</v>
      </c>
      <c r="F51" s="17"/>
    </row>
    <row r="52" spans="1:6" x14ac:dyDescent="0.25">
      <c r="A52" s="20" t="s">
        <v>162</v>
      </c>
      <c r="B52" s="21"/>
      <c r="C52" s="21"/>
      <c r="D52" s="21"/>
      <c r="E52" s="17" t="s">
        <v>163</v>
      </c>
      <c r="F52" s="17"/>
    </row>
    <row r="53" spans="1:6" x14ac:dyDescent="0.25">
      <c r="A53" s="20" t="s">
        <v>164</v>
      </c>
      <c r="B53" s="21"/>
      <c r="C53" s="21"/>
      <c r="D53" s="21"/>
      <c r="E53" s="17" t="s">
        <v>165</v>
      </c>
      <c r="F53" s="17"/>
    </row>
    <row r="54" spans="1:6" x14ac:dyDescent="0.25">
      <c r="A54" s="20" t="s">
        <v>166</v>
      </c>
      <c r="B54" s="21"/>
      <c r="C54" s="21"/>
      <c r="D54" s="21"/>
      <c r="E54" s="17" t="s">
        <v>167</v>
      </c>
      <c r="F54" s="17"/>
    </row>
    <row r="55" spans="1:6" x14ac:dyDescent="0.25">
      <c r="A55" s="20" t="s">
        <v>168</v>
      </c>
      <c r="B55" s="21"/>
      <c r="C55" s="21"/>
      <c r="D55" s="21"/>
      <c r="E55" s="17" t="s">
        <v>169</v>
      </c>
      <c r="F55" s="17"/>
    </row>
    <row r="56" spans="1:6" x14ac:dyDescent="0.25">
      <c r="A56" s="20" t="s">
        <v>170</v>
      </c>
      <c r="B56" s="21"/>
      <c r="C56" s="21"/>
      <c r="D56" s="21"/>
      <c r="E56" s="17" t="s">
        <v>171</v>
      </c>
      <c r="F56" s="17"/>
    </row>
    <row r="57" spans="1:6" x14ac:dyDescent="0.25">
      <c r="A57" s="20" t="s">
        <v>172</v>
      </c>
      <c r="B57" s="21"/>
      <c r="C57" s="21"/>
      <c r="D57" s="21"/>
      <c r="E57" s="17" t="s">
        <v>173</v>
      </c>
      <c r="F57" s="17"/>
    </row>
    <row r="59" spans="1:6" x14ac:dyDescent="0.25">
      <c r="A59" s="14" t="s">
        <v>174</v>
      </c>
      <c r="B59" s="14"/>
      <c r="C59" s="14"/>
      <c r="D59" s="14"/>
      <c r="E59" s="14"/>
      <c r="F59" s="14"/>
    </row>
    <row r="60" spans="1:6" x14ac:dyDescent="0.25">
      <c r="A60" s="20" t="s">
        <v>175</v>
      </c>
      <c r="B60" s="22">
        <f>IF(B51&gt;0,B52/B51,0)</f>
      </c>
      <c r="C60" s="22">
        <f>IF(C51&gt;0,C52/C51,0)</f>
      </c>
      <c r="D60" s="22">
        <f>IF(D51&gt;0,D52/D51,0)</f>
      </c>
      <c r="E60" s="17" t="s">
        <v>176</v>
      </c>
      <c r="F60" s="17"/>
    </row>
    <row r="61" spans="1:6" x14ac:dyDescent="0.25">
      <c r="A61" s="20" t="s">
        <v>177</v>
      </c>
      <c r="B61" s="22">
        <f>IF(B56&gt;0,(B53-B56)/B56,0)</f>
      </c>
      <c r="C61" s="22">
        <f>IF(C56&gt;0,(C53-C56)/C56,0)</f>
      </c>
      <c r="D61" s="22">
        <f>IF(D56&gt;0,(D53-D56)/D56,0)</f>
      </c>
      <c r="E61" s="17" t="s">
        <v>178</v>
      </c>
      <c r="F61" s="17"/>
    </row>
  </sheetData>
  <mergeCells count="7">
    <mergeCell ref="A1:F1"/>
    <mergeCell ref="A2:F2"/>
    <mergeCell ref="A5:F5"/>
    <mergeCell ref="A20:F20"/>
    <mergeCell ref="A33:F33"/>
    <mergeCell ref="A46:F46"/>
    <mergeCell ref="A59:F59"/>
  </mergeCell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8" customWidth="1"/>
    <col min="5" max="7" width="14" customWidth="1"/>
    <col min="8" max="8" width="20" customWidth="1"/>
  </cols>
  <sheetData>
    <row r="1" ht="28" customHeight="1" spans="1:8" x14ac:dyDescent="0.25">
      <c r="A1" s="11" t="s">
        <v>179</v>
      </c>
      <c r="B1" s="11"/>
      <c r="C1" s="11"/>
      <c r="D1" s="11"/>
      <c r="E1" s="11"/>
      <c r="F1" s="11"/>
      <c r="G1" s="11"/>
      <c r="H1" s="11"/>
    </row>
    <row r="2" spans="1:8" x14ac:dyDescent="0.25">
      <c r="A2" s="10" t="s">
        <v>180</v>
      </c>
      <c r="B2" s="10"/>
      <c r="C2" s="10"/>
      <c r="D2" s="10"/>
      <c r="E2" s="10"/>
      <c r="F2" s="10"/>
      <c r="G2" s="10"/>
      <c r="H2" s="10"/>
    </row>
    <row r="4" ht="22" customHeight="1" spans="1:8" x14ac:dyDescent="0.25">
      <c r="A4" s="23" t="s">
        <v>181</v>
      </c>
      <c r="B4" s="24" t="s">
        <v>182</v>
      </c>
      <c r="C4" s="24" t="s">
        <v>183</v>
      </c>
      <c r="D4" s="24" t="s">
        <v>184</v>
      </c>
      <c r="E4" s="24" t="s">
        <v>185</v>
      </c>
      <c r="F4" s="24" t="s">
        <v>186</v>
      </c>
      <c r="G4" s="24" t="s">
        <v>187</v>
      </c>
      <c r="H4" s="24" t="s">
        <v>40</v>
      </c>
    </row>
    <row r="5" spans="1:8" x14ac:dyDescent="0.25">
      <c r="A5" s="16">
        <v>1</v>
      </c>
      <c r="B5" s="21"/>
      <c r="C5" s="21"/>
      <c r="D5" s="21"/>
      <c r="E5" s="25"/>
      <c r="F5" s="21"/>
      <c r="G5" s="25"/>
      <c r="H5" s="21"/>
    </row>
    <row r="6" spans="1:8" x14ac:dyDescent="0.25">
      <c r="A6" s="16">
        <v>2</v>
      </c>
      <c r="B6" s="21"/>
      <c r="C6" s="21"/>
      <c r="D6" s="21"/>
      <c r="E6" s="25"/>
      <c r="F6" s="21"/>
      <c r="G6" s="25"/>
      <c r="H6" s="21"/>
    </row>
    <row r="7" spans="1:8" x14ac:dyDescent="0.25">
      <c r="A7" s="16">
        <v>3</v>
      </c>
      <c r="B7" s="21"/>
      <c r="C7" s="21"/>
      <c r="D7" s="21"/>
      <c r="E7" s="25"/>
      <c r="F7" s="21"/>
      <c r="G7" s="25"/>
      <c r="H7" s="21"/>
    </row>
    <row r="8" spans="1:8" x14ac:dyDescent="0.25">
      <c r="A8" s="16">
        <v>4</v>
      </c>
      <c r="B8" s="21"/>
      <c r="C8" s="21"/>
      <c r="D8" s="21"/>
      <c r="E8" s="25"/>
      <c r="F8" s="21"/>
      <c r="G8" s="25"/>
      <c r="H8" s="21"/>
    </row>
    <row r="9" spans="1:8" x14ac:dyDescent="0.25">
      <c r="A9" s="16">
        <v>5</v>
      </c>
      <c r="B9" s="21"/>
      <c r="C9" s="21"/>
      <c r="D9" s="21"/>
      <c r="E9" s="25"/>
      <c r="F9" s="21"/>
      <c r="G9" s="25"/>
      <c r="H9" s="21"/>
    </row>
    <row r="10" spans="1:8" x14ac:dyDescent="0.25">
      <c r="A10" s="16">
        <v>6</v>
      </c>
      <c r="B10" s="21"/>
      <c r="C10" s="21"/>
      <c r="D10" s="21"/>
      <c r="E10" s="25"/>
      <c r="F10" s="21"/>
      <c r="G10" s="25"/>
      <c r="H10" s="21"/>
    </row>
    <row r="11" spans="1:8" x14ac:dyDescent="0.25">
      <c r="A11" s="16">
        <v>7</v>
      </c>
      <c r="B11" s="21"/>
      <c r="C11" s="21"/>
      <c r="D11" s="21"/>
      <c r="E11" s="25"/>
      <c r="F11" s="21"/>
      <c r="G11" s="25"/>
      <c r="H11" s="21"/>
    </row>
    <row r="12" spans="1:8" x14ac:dyDescent="0.25">
      <c r="A12" s="16">
        <v>8</v>
      </c>
      <c r="B12" s="21"/>
      <c r="C12" s="21"/>
      <c r="D12" s="21"/>
      <c r="E12" s="25"/>
      <c r="F12" s="21"/>
      <c r="G12" s="25"/>
      <c r="H12" s="21"/>
    </row>
    <row r="13" spans="1:8" x14ac:dyDescent="0.25">
      <c r="A13" s="16">
        <v>9</v>
      </c>
      <c r="B13" s="21"/>
      <c r="C13" s="21"/>
      <c r="D13" s="21"/>
      <c r="E13" s="25"/>
      <c r="F13" s="21"/>
      <c r="G13" s="25"/>
      <c r="H13" s="21"/>
    </row>
    <row r="14" spans="1:8" x14ac:dyDescent="0.25">
      <c r="A14" s="16">
        <v>10</v>
      </c>
      <c r="B14" s="21"/>
      <c r="C14" s="21"/>
      <c r="D14" s="21"/>
      <c r="E14" s="25"/>
      <c r="F14" s="21"/>
      <c r="G14" s="25"/>
      <c r="H14" s="21"/>
    </row>
    <row r="15" spans="1:8" x14ac:dyDescent="0.25">
      <c r="A15" s="16">
        <v>11</v>
      </c>
      <c r="B15" s="21"/>
      <c r="C15" s="21"/>
      <c r="D15" s="21"/>
      <c r="E15" s="25"/>
      <c r="F15" s="21"/>
      <c r="G15" s="25"/>
      <c r="H15" s="21"/>
    </row>
    <row r="16" spans="1:8" x14ac:dyDescent="0.25">
      <c r="A16" s="16">
        <v>12</v>
      </c>
      <c r="B16" s="21"/>
      <c r="C16" s="21"/>
      <c r="D16" s="21"/>
      <c r="E16" s="25"/>
      <c r="F16" s="21"/>
      <c r="G16" s="25"/>
      <c r="H16" s="21"/>
    </row>
    <row r="17" spans="1:8" x14ac:dyDescent="0.25">
      <c r="A17" s="16">
        <v>13</v>
      </c>
      <c r="B17" s="21"/>
      <c r="C17" s="21"/>
      <c r="D17" s="21"/>
      <c r="E17" s="25"/>
      <c r="F17" s="21"/>
      <c r="G17" s="25"/>
      <c r="H17" s="21"/>
    </row>
    <row r="18" spans="1:8" x14ac:dyDescent="0.25">
      <c r="A18" s="16">
        <v>14</v>
      </c>
      <c r="B18" s="21"/>
      <c r="C18" s="21"/>
      <c r="D18" s="21"/>
      <c r="E18" s="25"/>
      <c r="F18" s="21"/>
      <c r="G18" s="25"/>
      <c r="H18" s="21"/>
    </row>
    <row r="19" spans="1:8" x14ac:dyDescent="0.25">
      <c r="A19" s="16">
        <v>15</v>
      </c>
      <c r="B19" s="21"/>
      <c r="C19" s="21"/>
      <c r="D19" s="21"/>
      <c r="E19" s="25"/>
      <c r="F19" s="21"/>
      <c r="G19" s="25"/>
      <c r="H19" s="21"/>
    </row>
    <row r="20" spans="1:8" x14ac:dyDescent="0.25">
      <c r="A20" s="16">
        <v>16</v>
      </c>
      <c r="B20" s="21"/>
      <c r="C20" s="21"/>
      <c r="D20" s="21"/>
      <c r="E20" s="25"/>
      <c r="F20" s="21"/>
      <c r="G20" s="25"/>
      <c r="H20" s="21"/>
    </row>
    <row r="21" spans="1:8" x14ac:dyDescent="0.25">
      <c r="A21" s="16">
        <v>17</v>
      </c>
      <c r="B21" s="21"/>
      <c r="C21" s="21"/>
      <c r="D21" s="21"/>
      <c r="E21" s="25"/>
      <c r="F21" s="21"/>
      <c r="G21" s="25"/>
      <c r="H21" s="21"/>
    </row>
    <row r="22" spans="1:8" x14ac:dyDescent="0.25">
      <c r="A22" s="16">
        <v>18</v>
      </c>
      <c r="B22" s="21"/>
      <c r="C22" s="21"/>
      <c r="D22" s="21"/>
      <c r="E22" s="25"/>
      <c r="F22" s="21"/>
      <c r="G22" s="25"/>
      <c r="H22" s="21"/>
    </row>
    <row r="23" spans="1:8" x14ac:dyDescent="0.25">
      <c r="A23" s="16">
        <v>19</v>
      </c>
      <c r="B23" s="21"/>
      <c r="C23" s="21"/>
      <c r="D23" s="21"/>
      <c r="E23" s="25"/>
      <c r="F23" s="21"/>
      <c r="G23" s="25"/>
      <c r="H23" s="21"/>
    </row>
    <row r="24" spans="1:8" x14ac:dyDescent="0.25">
      <c r="A24" s="16">
        <v>20</v>
      </c>
      <c r="B24" s="21"/>
      <c r="C24" s="21"/>
      <c r="D24" s="21"/>
      <c r="E24" s="25"/>
      <c r="F24" s="21"/>
      <c r="G24" s="25"/>
      <c r="H24" s="21"/>
    </row>
    <row r="25" spans="1:8" x14ac:dyDescent="0.25">
      <c r="A25" s="16">
        <v>21</v>
      </c>
      <c r="B25" s="21"/>
      <c r="C25" s="21"/>
      <c r="D25" s="21"/>
      <c r="E25" s="25"/>
      <c r="F25" s="21"/>
      <c r="G25" s="25"/>
      <c r="H25" s="21"/>
    </row>
    <row r="26" spans="1:8" x14ac:dyDescent="0.25">
      <c r="A26" s="16">
        <v>22</v>
      </c>
      <c r="B26" s="21"/>
      <c r="C26" s="21"/>
      <c r="D26" s="21"/>
      <c r="E26" s="25"/>
      <c r="F26" s="21"/>
      <c r="G26" s="25"/>
      <c r="H26" s="21"/>
    </row>
    <row r="27" spans="1:8" x14ac:dyDescent="0.25">
      <c r="A27" s="16">
        <v>23</v>
      </c>
      <c r="B27" s="21"/>
      <c r="C27" s="21"/>
      <c r="D27" s="21"/>
      <c r="E27" s="25"/>
      <c r="F27" s="21"/>
      <c r="G27" s="25"/>
      <c r="H27" s="21"/>
    </row>
    <row r="28" spans="1:8" x14ac:dyDescent="0.25">
      <c r="A28" s="16">
        <v>24</v>
      </c>
      <c r="B28" s="21"/>
      <c r="C28" s="21"/>
      <c r="D28" s="21"/>
      <c r="E28" s="25"/>
      <c r="F28" s="21"/>
      <c r="G28" s="25"/>
      <c r="H28" s="21"/>
    </row>
    <row r="29" spans="1:8" x14ac:dyDescent="0.25">
      <c r="A29" s="16">
        <v>25</v>
      </c>
      <c r="B29" s="21"/>
      <c r="C29" s="21"/>
      <c r="D29" s="21"/>
      <c r="E29" s="25"/>
      <c r="F29" s="21"/>
      <c r="G29" s="25"/>
      <c r="H29" s="21"/>
    </row>
    <row r="30" spans="1:8" x14ac:dyDescent="0.25">
      <c r="A30" s="16">
        <v>26</v>
      </c>
      <c r="B30" s="21"/>
      <c r="C30" s="21"/>
      <c r="D30" s="21"/>
      <c r="E30" s="25"/>
      <c r="F30" s="21"/>
      <c r="G30" s="25"/>
      <c r="H30" s="21"/>
    </row>
    <row r="31" spans="1:8" x14ac:dyDescent="0.25">
      <c r="A31" s="16">
        <v>27</v>
      </c>
      <c r="B31" s="21"/>
      <c r="C31" s="21"/>
      <c r="D31" s="21"/>
      <c r="E31" s="25"/>
      <c r="F31" s="21"/>
      <c r="G31" s="25"/>
      <c r="H31" s="21"/>
    </row>
    <row r="32" spans="1:8" x14ac:dyDescent="0.25">
      <c r="A32" s="16">
        <v>28</v>
      </c>
      <c r="B32" s="21"/>
      <c r="C32" s="21"/>
      <c r="D32" s="21"/>
      <c r="E32" s="25"/>
      <c r="F32" s="21"/>
      <c r="G32" s="25"/>
      <c r="H32" s="21"/>
    </row>
    <row r="33" spans="1:8" x14ac:dyDescent="0.25">
      <c r="A33" s="16">
        <v>29</v>
      </c>
      <c r="B33" s="21"/>
      <c r="C33" s="21"/>
      <c r="D33" s="21"/>
      <c r="E33" s="25"/>
      <c r="F33" s="21"/>
      <c r="G33" s="25"/>
      <c r="H33" s="21"/>
    </row>
    <row r="34" spans="1:8" x14ac:dyDescent="0.25">
      <c r="A34" s="16">
        <v>30</v>
      </c>
      <c r="B34" s="21"/>
      <c r="C34" s="21"/>
      <c r="D34" s="21"/>
      <c r="E34" s="25"/>
      <c r="F34" s="21"/>
      <c r="G34" s="25"/>
      <c r="H34" s="21"/>
    </row>
    <row r="37" spans="1:8" x14ac:dyDescent="0.25">
      <c r="A37" s="14" t="s">
        <v>188</v>
      </c>
      <c r="B37" s="14"/>
      <c r="C37" s="14"/>
      <c r="D37" s="14"/>
      <c r="E37" s="14"/>
      <c r="F37" s="14"/>
      <c r="G37" s="14"/>
      <c r="H37" s="14"/>
    </row>
    <row r="38" spans="1:5" x14ac:dyDescent="0.25">
      <c r="A38" s="15" t="s">
        <v>189</v>
      </c>
      <c r="B38" s="15" t="s">
        <v>190</v>
      </c>
      <c r="C38" s="15" t="s">
        <v>191</v>
      </c>
      <c r="D38" s="15" t="s">
        <v>192</v>
      </c>
      <c r="E38" s="15" t="s">
        <v>193</v>
      </c>
    </row>
    <row r="39" spans="1:5" x14ac:dyDescent="0.25">
      <c r="A39" s="17" t="s">
        <v>194</v>
      </c>
      <c r="B39" s="17">
        <f>COUNTIF(D5:D34,"Google Search")</f>
      </c>
      <c r="C39" s="17">
        <f>COUNTIFS(D5:D34,"Google Search",F5:F34,"Y")</f>
      </c>
      <c r="D39" s="22">
        <f>IF(B39&gt;0,C39/B39,0)</f>
      </c>
      <c r="E39" s="26">
        <f>SUMIFS(G5:G34,D5:D34,"Google Search")</f>
      </c>
    </row>
    <row r="40" spans="1:5" x14ac:dyDescent="0.25">
      <c r="A40" s="17" t="s">
        <v>195</v>
      </c>
      <c r="B40" s="17">
        <f>COUNTIF(D5:D34,"Google Ads")</f>
      </c>
      <c r="C40" s="17">
        <f>COUNTIFS(D5:D34,"Google Ads",F5:F34,"Y")</f>
      </c>
      <c r="D40" s="22">
        <f>IF(B40&gt;0,C40/B40,0)</f>
      </c>
      <c r="E40" s="26">
        <f>SUMIFS(G5:G34,D5:D34,"Google Ads")</f>
      </c>
    </row>
    <row r="41" spans="1:5" x14ac:dyDescent="0.25">
      <c r="A41" s="17" t="s">
        <v>196</v>
      </c>
      <c r="B41" s="17">
        <f>COUNTIF(D5:D34,"Facebook")</f>
      </c>
      <c r="C41" s="17">
        <f>COUNTIFS(D5:D34,"Facebook",F5:F34,"Y")</f>
      </c>
      <c r="D41" s="22">
        <f>IF(B41&gt;0,C41/B41,0)</f>
      </c>
      <c r="E41" s="26">
        <f>SUMIFS(G5:G34,D5:D34,"Facebook")</f>
      </c>
    </row>
    <row r="42" spans="1:5" x14ac:dyDescent="0.25">
      <c r="A42" s="17" t="s">
        <v>197</v>
      </c>
      <c r="B42" s="17">
        <f>COUNTIF(D5:D34,"Nextdoor")</f>
      </c>
      <c r="C42" s="17">
        <f>COUNTIFS(D5:D34,"Nextdoor",F5:F34,"Y")</f>
      </c>
      <c r="D42" s="22">
        <f>IF(B42&gt;0,C42/B42,0)</f>
      </c>
      <c r="E42" s="26">
        <f>SUMIFS(G5:G34,D5:D34,"Nextdoor")</f>
      </c>
    </row>
    <row r="43" spans="1:5" x14ac:dyDescent="0.25">
      <c r="A43" s="17" t="s">
        <v>198</v>
      </c>
      <c r="B43" s="17">
        <f>COUNTIF(D5:D34,"Referral")</f>
      </c>
      <c r="C43" s="17">
        <f>COUNTIFS(D5:D34,"Referral",F5:F34,"Y")</f>
      </c>
      <c r="D43" s="22">
        <f>IF(B43&gt;0,C43/B43,0)</f>
      </c>
      <c r="E43" s="26">
        <f>SUMIFS(G5:G34,D5:D34,"Referral")</f>
      </c>
    </row>
    <row r="44" spans="1:5" x14ac:dyDescent="0.25">
      <c r="A44" s="17" t="s">
        <v>199</v>
      </c>
      <c r="B44" s="17">
        <f>COUNTIF(D5:D34,"Yard Sign")</f>
      </c>
      <c r="C44" s="17">
        <f>COUNTIFS(D5:D34,"Yard Sign",F5:F34,"Y")</f>
      </c>
      <c r="D44" s="22">
        <f>IF(B44&gt;0,C44/B44,0)</f>
      </c>
      <c r="E44" s="26">
        <f>SUMIFS(G5:G34,D5:D34,"Yard Sign")</f>
      </c>
    </row>
    <row r="45" spans="1:5" x14ac:dyDescent="0.25">
      <c r="A45" s="17" t="s">
        <v>200</v>
      </c>
      <c r="B45" s="17">
        <f>COUNTIF(D5:D34,"Door Hanger")</f>
      </c>
      <c r="C45" s="17">
        <f>COUNTIFS(D5:D34,"Door Hanger",F5:F34,"Y")</f>
      </c>
      <c r="D45" s="22">
        <f>IF(B45&gt;0,C45/B45,0)</f>
      </c>
      <c r="E45" s="26">
        <f>SUMIFS(G5:G34,D5:D34,"Door Hanger")</f>
      </c>
    </row>
    <row r="46" spans="1:5" x14ac:dyDescent="0.25">
      <c r="A46" s="17" t="s">
        <v>201</v>
      </c>
      <c r="B46" s="17">
        <f>COUNTIF(D5:D34,"Angi/HomeAdvisor")</f>
      </c>
      <c r="C46" s="17">
        <f>COUNTIFS(D5:D34,"Angi/HomeAdvisor",F5:F34,"Y")</f>
      </c>
      <c r="D46" s="22">
        <f>IF(B46&gt;0,C46/B46,0)</f>
      </c>
      <c r="E46" s="26">
        <f>SUMIFS(G5:G34,D5:D34,"Angi/HomeAdvisor")</f>
      </c>
    </row>
    <row r="47" spans="1:5" x14ac:dyDescent="0.25">
      <c r="A47" s="17" t="s">
        <v>202</v>
      </c>
      <c r="B47" s="17">
        <f>COUNTIF(D5:D34,"Website")</f>
      </c>
      <c r="C47" s="17">
        <f>COUNTIFS(D5:D34,"Website",F5:F34,"Y")</f>
      </c>
      <c r="D47" s="22">
        <f>IF(B47&gt;0,C47/B47,0)</f>
      </c>
      <c r="E47" s="26">
        <f>SUMIFS(G5:G34,D5:D34,"Website")</f>
      </c>
    </row>
    <row r="48" spans="1:5" x14ac:dyDescent="0.25">
      <c r="A48" s="17" t="s">
        <v>203</v>
      </c>
      <c r="B48" s="17">
        <f>COUNTIF(D5:D34,"Other")</f>
      </c>
      <c r="C48" s="17">
        <f>COUNTIFS(D5:D34,"Other",F5:F34,"Y")</f>
      </c>
      <c r="D48" s="22">
        <f>IF(B48&gt;0,C48/B48,0)</f>
      </c>
      <c r="E48" s="26">
        <f>SUMIFS(G5:G34,D5:D34,"Other")</f>
      </c>
    </row>
  </sheetData>
  <mergeCells count="3">
    <mergeCell ref="A1:H1"/>
    <mergeCell ref="A2:H2"/>
    <mergeCell ref="A37:H37"/>
  </mergeCells>
  <dataValidations count="2">
    <dataValidation type="list" allowBlank="1" sqref="D10:D34">
      <formula1>"Google Search,Google Ads,Facebook,Nextdoor,Referral,Yard Sign,Door Hanger,Angi/HomeAdvisor,Yelp,Website,Phone Book,Other"</formula1>
    </dataValidation>
    <dataValidation type="list" allowBlank="1" sqref="D5:D34">
      <formula1>"Google Search,Google Ads,Facebook,Nextdoor,Referral,Yard Sign,Door Hanger,Angi/HomeAdvisor,Yelp,Website,Phone Book,Other"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20" customWidth="1"/>
    <col min="5" max="5" width="16" customWidth="1"/>
    <col min="6" max="6" width="14" customWidth="1"/>
    <col min="7" max="7" width="12" customWidth="1"/>
    <col min="8" max="8" width="20" customWidth="1"/>
  </cols>
  <sheetData>
    <row r="1" ht="28" customHeight="1" spans="1:8" x14ac:dyDescent="0.25">
      <c r="A1" s="11" t="s">
        <v>204</v>
      </c>
      <c r="B1" s="11"/>
      <c r="C1" s="11"/>
      <c r="D1" s="11"/>
      <c r="E1" s="11"/>
      <c r="F1" s="11"/>
      <c r="G1" s="11"/>
      <c r="H1" s="11"/>
    </row>
    <row r="2" spans="1:8" x14ac:dyDescent="0.25">
      <c r="A2" s="10" t="s">
        <v>205</v>
      </c>
      <c r="B2" s="10"/>
      <c r="C2" s="10"/>
      <c r="D2" s="10"/>
      <c r="E2" s="10"/>
      <c r="F2" s="10"/>
      <c r="G2" s="10"/>
      <c r="H2" s="10"/>
    </row>
    <row r="4" ht="22" customHeight="1" spans="1:8" x14ac:dyDescent="0.25">
      <c r="A4" s="23" t="s">
        <v>181</v>
      </c>
      <c r="B4" s="24" t="s">
        <v>182</v>
      </c>
      <c r="C4" s="24" t="s">
        <v>189</v>
      </c>
      <c r="D4" s="24" t="s">
        <v>183</v>
      </c>
      <c r="E4" s="24" t="s">
        <v>206</v>
      </c>
      <c r="F4" s="24" t="s">
        <v>185</v>
      </c>
      <c r="G4" s="24" t="s">
        <v>207</v>
      </c>
      <c r="H4" s="24" t="s">
        <v>40</v>
      </c>
    </row>
    <row r="5" spans="1:8" x14ac:dyDescent="0.25">
      <c r="A5" s="16">
        <v>1</v>
      </c>
      <c r="B5" s="21"/>
      <c r="C5" s="21"/>
      <c r="D5" s="21"/>
      <c r="E5" s="21"/>
      <c r="F5" s="25"/>
      <c r="G5" s="21"/>
      <c r="H5" s="21"/>
    </row>
    <row r="6" spans="1:8" x14ac:dyDescent="0.25">
      <c r="A6" s="16">
        <v>2</v>
      </c>
      <c r="B6" s="21"/>
      <c r="C6" s="21"/>
      <c r="D6" s="21"/>
      <c r="E6" s="21"/>
      <c r="F6" s="25"/>
      <c r="G6" s="21"/>
      <c r="H6" s="21"/>
    </row>
    <row r="7" spans="1:8" x14ac:dyDescent="0.25">
      <c r="A7" s="16">
        <v>3</v>
      </c>
      <c r="B7" s="21"/>
      <c r="C7" s="21"/>
      <c r="D7" s="21"/>
      <c r="E7" s="21"/>
      <c r="F7" s="25"/>
      <c r="G7" s="21"/>
      <c r="H7" s="21"/>
    </row>
    <row r="8" spans="1:8" x14ac:dyDescent="0.25">
      <c r="A8" s="16">
        <v>4</v>
      </c>
      <c r="B8" s="21"/>
      <c r="C8" s="21"/>
      <c r="D8" s="21"/>
      <c r="E8" s="21"/>
      <c r="F8" s="25"/>
      <c r="G8" s="21"/>
      <c r="H8" s="21"/>
    </row>
    <row r="9" spans="1:8" x14ac:dyDescent="0.25">
      <c r="A9" s="16">
        <v>5</v>
      </c>
      <c r="B9" s="21"/>
      <c r="C9" s="21"/>
      <c r="D9" s="21"/>
      <c r="E9" s="21"/>
      <c r="F9" s="25"/>
      <c r="G9" s="21"/>
      <c r="H9" s="21"/>
    </row>
    <row r="10" spans="1:8" x14ac:dyDescent="0.25">
      <c r="A10" s="16">
        <v>6</v>
      </c>
      <c r="B10" s="21"/>
      <c r="C10" s="21"/>
      <c r="D10" s="21"/>
      <c r="E10" s="21"/>
      <c r="F10" s="25"/>
      <c r="G10" s="21"/>
      <c r="H10" s="21"/>
    </row>
    <row r="11" spans="1:8" x14ac:dyDescent="0.25">
      <c r="A11" s="16">
        <v>7</v>
      </c>
      <c r="B11" s="21"/>
      <c r="C11" s="21"/>
      <c r="D11" s="21"/>
      <c r="E11" s="21"/>
      <c r="F11" s="25"/>
      <c r="G11" s="21"/>
      <c r="H11" s="21"/>
    </row>
    <row r="12" spans="1:8" x14ac:dyDescent="0.25">
      <c r="A12" s="16">
        <v>8</v>
      </c>
      <c r="B12" s="21"/>
      <c r="C12" s="21"/>
      <c r="D12" s="21"/>
      <c r="E12" s="21"/>
      <c r="F12" s="25"/>
      <c r="G12" s="21"/>
      <c r="H12" s="21"/>
    </row>
    <row r="13" spans="1:8" x14ac:dyDescent="0.25">
      <c r="A13" s="16">
        <v>9</v>
      </c>
      <c r="B13" s="21"/>
      <c r="C13" s="21"/>
      <c r="D13" s="21"/>
      <c r="E13" s="21"/>
      <c r="F13" s="25"/>
      <c r="G13" s="21"/>
      <c r="H13" s="21"/>
    </row>
    <row r="14" spans="1:8" x14ac:dyDescent="0.25">
      <c r="A14" s="16">
        <v>10</v>
      </c>
      <c r="B14" s="21"/>
      <c r="C14" s="21"/>
      <c r="D14" s="21"/>
      <c r="E14" s="21"/>
      <c r="F14" s="25"/>
      <c r="G14" s="21"/>
      <c r="H14" s="21"/>
    </row>
    <row r="15" spans="1:8" x14ac:dyDescent="0.25">
      <c r="A15" s="16">
        <v>11</v>
      </c>
      <c r="B15" s="21"/>
      <c r="C15" s="21"/>
      <c r="D15" s="21"/>
      <c r="E15" s="21"/>
      <c r="F15" s="25"/>
      <c r="G15" s="21"/>
      <c r="H15" s="21"/>
    </row>
    <row r="16" spans="1:8" x14ac:dyDescent="0.25">
      <c r="A16" s="16">
        <v>12</v>
      </c>
      <c r="B16" s="21"/>
      <c r="C16" s="21"/>
      <c r="D16" s="21"/>
      <c r="E16" s="21"/>
      <c r="F16" s="25"/>
      <c r="G16" s="21"/>
      <c r="H16" s="21"/>
    </row>
    <row r="17" spans="1:8" x14ac:dyDescent="0.25">
      <c r="A17" s="16">
        <v>13</v>
      </c>
      <c r="B17" s="21"/>
      <c r="C17" s="21"/>
      <c r="D17" s="21"/>
      <c r="E17" s="21"/>
      <c r="F17" s="25"/>
      <c r="G17" s="21"/>
      <c r="H17" s="21"/>
    </row>
    <row r="18" spans="1:8" x14ac:dyDescent="0.25">
      <c r="A18" s="16">
        <v>14</v>
      </c>
      <c r="B18" s="21"/>
      <c r="C18" s="21"/>
      <c r="D18" s="21"/>
      <c r="E18" s="21"/>
      <c r="F18" s="25"/>
      <c r="G18" s="21"/>
      <c r="H18" s="21"/>
    </row>
    <row r="19" spans="1:8" x14ac:dyDescent="0.25">
      <c r="A19" s="16">
        <v>15</v>
      </c>
      <c r="B19" s="21"/>
      <c r="C19" s="21"/>
      <c r="D19" s="21"/>
      <c r="E19" s="21"/>
      <c r="F19" s="25"/>
      <c r="G19" s="21"/>
      <c r="H19" s="21"/>
    </row>
    <row r="20" spans="1:8" x14ac:dyDescent="0.25">
      <c r="A20" s="16">
        <v>16</v>
      </c>
      <c r="B20" s="21"/>
      <c r="C20" s="21"/>
      <c r="D20" s="21"/>
      <c r="E20" s="21"/>
      <c r="F20" s="25"/>
      <c r="G20" s="21"/>
      <c r="H20" s="21"/>
    </row>
    <row r="21" spans="1:8" x14ac:dyDescent="0.25">
      <c r="A21" s="16">
        <v>17</v>
      </c>
      <c r="B21" s="21"/>
      <c r="C21" s="21"/>
      <c r="D21" s="21"/>
      <c r="E21" s="21"/>
      <c r="F21" s="25"/>
      <c r="G21" s="21"/>
      <c r="H21" s="21"/>
    </row>
    <row r="22" spans="1:8" x14ac:dyDescent="0.25">
      <c r="A22" s="16">
        <v>18</v>
      </c>
      <c r="B22" s="21"/>
      <c r="C22" s="21"/>
      <c r="D22" s="21"/>
      <c r="E22" s="21"/>
      <c r="F22" s="25"/>
      <c r="G22" s="21"/>
      <c r="H22" s="21"/>
    </row>
    <row r="23" spans="1:8" x14ac:dyDescent="0.25">
      <c r="A23" s="16">
        <v>19</v>
      </c>
      <c r="B23" s="21"/>
      <c r="C23" s="21"/>
      <c r="D23" s="21"/>
      <c r="E23" s="21"/>
      <c r="F23" s="25"/>
      <c r="G23" s="21"/>
      <c r="H23" s="21"/>
    </row>
    <row r="24" spans="1:8" x14ac:dyDescent="0.25">
      <c r="A24" s="16">
        <v>20</v>
      </c>
      <c r="B24" s="21"/>
      <c r="C24" s="21"/>
      <c r="D24" s="21"/>
      <c r="E24" s="21"/>
      <c r="F24" s="25"/>
      <c r="G24" s="21"/>
      <c r="H24" s="21"/>
    </row>
    <row r="25" spans="1:8" x14ac:dyDescent="0.25">
      <c r="A25" s="16">
        <v>21</v>
      </c>
      <c r="B25" s="21"/>
      <c r="C25" s="21"/>
      <c r="D25" s="21"/>
      <c r="E25" s="21"/>
      <c r="F25" s="25"/>
      <c r="G25" s="21"/>
      <c r="H25" s="21"/>
    </row>
    <row r="26" spans="1:8" x14ac:dyDescent="0.25">
      <c r="A26" s="16">
        <v>22</v>
      </c>
      <c r="B26" s="21"/>
      <c r="C26" s="21"/>
      <c r="D26" s="21"/>
      <c r="E26" s="21"/>
      <c r="F26" s="25"/>
      <c r="G26" s="21"/>
      <c r="H26" s="21"/>
    </row>
    <row r="27" spans="1:8" x14ac:dyDescent="0.25">
      <c r="A27" s="16">
        <v>23</v>
      </c>
      <c r="B27" s="21"/>
      <c r="C27" s="21"/>
      <c r="D27" s="21"/>
      <c r="E27" s="21"/>
      <c r="F27" s="25"/>
      <c r="G27" s="21"/>
      <c r="H27" s="21"/>
    </row>
    <row r="28" spans="1:8" x14ac:dyDescent="0.25">
      <c r="A28" s="16">
        <v>24</v>
      </c>
      <c r="B28" s="21"/>
      <c r="C28" s="21"/>
      <c r="D28" s="21"/>
      <c r="E28" s="21"/>
      <c r="F28" s="25"/>
      <c r="G28" s="21"/>
      <c r="H28" s="21"/>
    </row>
    <row r="29" spans="1:8" x14ac:dyDescent="0.25">
      <c r="A29" s="16">
        <v>25</v>
      </c>
      <c r="B29" s="21"/>
      <c r="C29" s="21"/>
      <c r="D29" s="21"/>
      <c r="E29" s="21"/>
      <c r="F29" s="25"/>
      <c r="G29" s="21"/>
      <c r="H29" s="21"/>
    </row>
    <row r="30" spans="1:8" x14ac:dyDescent="0.25">
      <c r="A30" s="16">
        <v>26</v>
      </c>
      <c r="B30" s="21"/>
      <c r="C30" s="21"/>
      <c r="D30" s="21"/>
      <c r="E30" s="21"/>
      <c r="F30" s="25"/>
      <c r="G30" s="21"/>
      <c r="H30" s="21"/>
    </row>
    <row r="31" spans="1:8" x14ac:dyDescent="0.25">
      <c r="A31" s="16">
        <v>27</v>
      </c>
      <c r="B31" s="21"/>
      <c r="C31" s="21"/>
      <c r="D31" s="21"/>
      <c r="E31" s="21"/>
      <c r="F31" s="25"/>
      <c r="G31" s="21"/>
      <c r="H31" s="21"/>
    </row>
    <row r="32" spans="1:8" x14ac:dyDescent="0.25">
      <c r="A32" s="16">
        <v>28</v>
      </c>
      <c r="B32" s="21"/>
      <c r="C32" s="21"/>
      <c r="D32" s="21"/>
      <c r="E32" s="21"/>
      <c r="F32" s="25"/>
      <c r="G32" s="21"/>
      <c r="H32" s="21"/>
    </row>
    <row r="33" spans="1:8" x14ac:dyDescent="0.25">
      <c r="A33" s="16">
        <v>29</v>
      </c>
      <c r="B33" s="21"/>
      <c r="C33" s="21"/>
      <c r="D33" s="21"/>
      <c r="E33" s="21"/>
      <c r="F33" s="25"/>
      <c r="G33" s="21"/>
      <c r="H33" s="21"/>
    </row>
    <row r="34" spans="1:8" x14ac:dyDescent="0.25">
      <c r="A34" s="16">
        <v>30</v>
      </c>
      <c r="B34" s="21"/>
      <c r="C34" s="21"/>
      <c r="D34" s="21"/>
      <c r="E34" s="21"/>
      <c r="F34" s="25"/>
      <c r="G34" s="21"/>
      <c r="H34" s="21"/>
    </row>
    <row r="35" spans="1:8" x14ac:dyDescent="0.25">
      <c r="A35" s="16">
        <v>31</v>
      </c>
      <c r="B35" s="21"/>
      <c r="C35" s="21"/>
      <c r="D35" s="21"/>
      <c r="E35" s="21"/>
      <c r="F35" s="25"/>
      <c r="G35" s="21"/>
      <c r="H35" s="21"/>
    </row>
    <row r="36" spans="1:8" x14ac:dyDescent="0.25">
      <c r="A36" s="16">
        <v>32</v>
      </c>
      <c r="B36" s="21"/>
      <c r="C36" s="21"/>
      <c r="D36" s="21"/>
      <c r="E36" s="21"/>
      <c r="F36" s="25"/>
      <c r="G36" s="21"/>
      <c r="H36" s="21"/>
    </row>
    <row r="37" spans="1:8" x14ac:dyDescent="0.25">
      <c r="A37" s="16">
        <v>33</v>
      </c>
      <c r="B37" s="21"/>
      <c r="C37" s="21"/>
      <c r="D37" s="21"/>
      <c r="E37" s="21"/>
      <c r="F37" s="25"/>
      <c r="G37" s="21"/>
      <c r="H37" s="21"/>
    </row>
    <row r="38" spans="1:8" x14ac:dyDescent="0.25">
      <c r="A38" s="16">
        <v>34</v>
      </c>
      <c r="B38" s="21"/>
      <c r="C38" s="21"/>
      <c r="D38" s="21"/>
      <c r="E38" s="21"/>
      <c r="F38" s="25"/>
      <c r="G38" s="21"/>
      <c r="H38" s="21"/>
    </row>
    <row r="39" spans="1:8" x14ac:dyDescent="0.25">
      <c r="A39" s="16">
        <v>35</v>
      </c>
      <c r="B39" s="21"/>
      <c r="C39" s="21"/>
      <c r="D39" s="21"/>
      <c r="E39" s="21"/>
      <c r="F39" s="25"/>
      <c r="G39" s="21"/>
      <c r="H39" s="21"/>
    </row>
    <row r="40" spans="1:8" x14ac:dyDescent="0.25">
      <c r="A40" s="16">
        <v>36</v>
      </c>
      <c r="B40" s="21"/>
      <c r="C40" s="21"/>
      <c r="D40" s="21"/>
      <c r="E40" s="21"/>
      <c r="F40" s="25"/>
      <c r="G40" s="21"/>
      <c r="H40" s="21"/>
    </row>
    <row r="41" spans="1:8" x14ac:dyDescent="0.25">
      <c r="A41" s="16">
        <v>37</v>
      </c>
      <c r="B41" s="21"/>
      <c r="C41" s="21"/>
      <c r="D41" s="21"/>
      <c r="E41" s="21"/>
      <c r="F41" s="25"/>
      <c r="G41" s="21"/>
      <c r="H41" s="21"/>
    </row>
    <row r="42" spans="1:8" x14ac:dyDescent="0.25">
      <c r="A42" s="16">
        <v>38</v>
      </c>
      <c r="B42" s="21"/>
      <c r="C42" s="21"/>
      <c r="D42" s="21"/>
      <c r="E42" s="21"/>
      <c r="F42" s="25"/>
      <c r="G42" s="21"/>
      <c r="H42" s="21"/>
    </row>
    <row r="43" spans="1:8" x14ac:dyDescent="0.25">
      <c r="A43" s="16">
        <v>39</v>
      </c>
      <c r="B43" s="21"/>
      <c r="C43" s="21"/>
      <c r="D43" s="21"/>
      <c r="E43" s="21"/>
      <c r="F43" s="25"/>
      <c r="G43" s="21"/>
      <c r="H43" s="21"/>
    </row>
    <row r="44" spans="1:8" x14ac:dyDescent="0.25">
      <c r="A44" s="16">
        <v>40</v>
      </c>
      <c r="B44" s="21"/>
      <c r="C44" s="21"/>
      <c r="D44" s="21"/>
      <c r="E44" s="21"/>
      <c r="F44" s="25"/>
      <c r="G44" s="21"/>
      <c r="H44" s="21"/>
    </row>
    <row r="47" spans="1:8" x14ac:dyDescent="0.25">
      <c r="A47" s="14" t="s">
        <v>208</v>
      </c>
      <c r="B47" s="14"/>
      <c r="C47" s="14"/>
      <c r="D47" s="14"/>
      <c r="E47" s="14"/>
      <c r="F47" s="14"/>
      <c r="G47" s="14"/>
      <c r="H47" s="14"/>
    </row>
    <row r="48" spans="1:3" x14ac:dyDescent="0.25">
      <c r="A48" s="17" t="s">
        <v>209</v>
      </c>
      <c r="B48" s="20" t="s">
        <v>190</v>
      </c>
      <c r="C48" s="20">
        <f>COUNTA(D5:D44)</f>
      </c>
    </row>
    <row r="49" spans="1:3" x14ac:dyDescent="0.25">
      <c r="A49" s="17" t="s">
        <v>209</v>
      </c>
      <c r="B49" s="20" t="s">
        <v>210</v>
      </c>
      <c r="C49" s="20">
        <f>COUNTIF(G5:G44,"New")</f>
      </c>
    </row>
    <row r="50" spans="1:3" x14ac:dyDescent="0.25">
      <c r="A50" s="17" t="s">
        <v>209</v>
      </c>
      <c r="B50" s="20" t="s">
        <v>211</v>
      </c>
      <c r="C50" s="20">
        <f>COUNTIF(G5:G44,"Quoted")</f>
      </c>
    </row>
    <row r="51" spans="1:3" x14ac:dyDescent="0.25">
      <c r="A51" s="17" t="s">
        <v>209</v>
      </c>
      <c r="B51" s="20" t="s">
        <v>212</v>
      </c>
      <c r="C51" s="20">
        <f>COUNTIF(G5:G44,"Won")</f>
      </c>
    </row>
    <row r="52" spans="1:3" x14ac:dyDescent="0.25">
      <c r="A52" s="17" t="s">
        <v>209</v>
      </c>
      <c r="B52" s="20" t="s">
        <v>213</v>
      </c>
      <c r="C52" s="20">
        <f>COUNTIF(G5:G44,"Lost")</f>
      </c>
    </row>
    <row r="53" spans="1:3" x14ac:dyDescent="0.25">
      <c r="A53" s="17" t="s">
        <v>209</v>
      </c>
      <c r="B53" s="20" t="s">
        <v>214</v>
      </c>
      <c r="C53" s="27">
        <f>SUMIFS(F5:F44,G5:G44,"Quoted")</f>
      </c>
    </row>
    <row r="54" spans="1:3" x14ac:dyDescent="0.25">
      <c r="A54" s="17" t="s">
        <v>209</v>
      </c>
      <c r="B54" s="20" t="s">
        <v>215</v>
      </c>
      <c r="C54" s="27">
        <f>SUMIFS(F5:F44,G5:G44,"Won")</f>
      </c>
    </row>
    <row r="55" spans="1:3" x14ac:dyDescent="0.25">
      <c r="A55" s="17" t="s">
        <v>209</v>
      </c>
      <c r="B55" s="20" t="s">
        <v>192</v>
      </c>
      <c r="C55" s="28">
        <f>IF(COUNTA(D5:D44)&gt;0,COUNTIF(G5:G44,"Won")/COUNTA(D5:D44),0)</f>
      </c>
    </row>
  </sheetData>
  <mergeCells count="3">
    <mergeCell ref="A1:H1"/>
    <mergeCell ref="A2:H2"/>
    <mergeCell ref="A47:H47"/>
  </mergeCells>
  <dataValidations count="6">
    <dataValidation type="list" allowBlank="1" sqref="C10:C44">
      <formula1>"Google,Google Ads,Facebook,Nextdoor,Referral,Yard Sign,Door Hanger,Angi,HomeAdvisor,Yelp,Website,Cold Call,Other"</formula1>
    </dataValidation>
    <dataValidation type="list" allowBlank="1" sqref="C5:C44">
      <formula1>"Google,Google Ads,Facebook,Nextdoor,Referral,Yard Sign,Door Hanger,Angi,HomeAdvisor,Yelp,Website,Cold Call,Other"</formula1>
    </dataValidation>
    <dataValidation type="list" allowBlank="1" sqref="E10:E44">
      <formula1>"Driveway,Patio,Slab,Foundation,Stamped,Sidewalk,Repair,Steps,Retaining Wall,Other"</formula1>
    </dataValidation>
    <dataValidation type="list" allowBlank="1" sqref="E5:E44">
      <formula1>"Driveway,Patio,Slab,Foundation,Stamped,Sidewalk,Repair,Steps,Retaining Wall,Other"</formula1>
    </dataValidation>
    <dataValidation type="list" allowBlank="1" sqref="G10:G44">
      <formula1>"New,Contacted,Quoted,Won,Lost,No Response"</formula1>
    </dataValidation>
    <dataValidation type="list" allowBlank="1" sqref="G5:G44">
      <formula1>"New,Contacted,Quoted,Won,Lost,No Response"</formula1>
    </dataValidation>
  </dataValidations>
  <pageSetup paperSize="1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6" customWidth="1"/>
    <col min="2" max="2" width="24" customWidth="1"/>
    <col min="3" max="3" width="16" customWidth="1"/>
    <col min="4" max="4" width="12" customWidth="1"/>
    <col min="5" max="6" width="14" customWidth="1"/>
    <col min="7" max="7" width="24" customWidth="1"/>
  </cols>
  <sheetData>
    <row r="1" ht="28" customHeight="1" spans="1:7" x14ac:dyDescent="0.25">
      <c r="A1" s="11" t="s">
        <v>216</v>
      </c>
      <c r="B1" s="11"/>
      <c r="C1" s="11"/>
      <c r="D1" s="11"/>
      <c r="E1" s="11"/>
      <c r="F1" s="11"/>
      <c r="G1" s="11"/>
    </row>
    <row r="2" spans="1:7" x14ac:dyDescent="0.25">
      <c r="A2" s="10" t="s">
        <v>217</v>
      </c>
      <c r="B2" s="10"/>
      <c r="C2" s="10"/>
      <c r="D2" s="10"/>
      <c r="E2" s="10"/>
      <c r="F2" s="10"/>
      <c r="G2" s="10"/>
    </row>
    <row r="4" ht="22" customHeight="1" spans="1:7" x14ac:dyDescent="0.25">
      <c r="A4" s="23" t="s">
        <v>181</v>
      </c>
      <c r="B4" s="24" t="s">
        <v>218</v>
      </c>
      <c r="C4" s="24" t="s">
        <v>202</v>
      </c>
      <c r="D4" s="24" t="s">
        <v>219</v>
      </c>
      <c r="E4" s="24" t="s">
        <v>220</v>
      </c>
      <c r="F4" s="24" t="s">
        <v>221</v>
      </c>
      <c r="G4" s="24" t="s">
        <v>222</v>
      </c>
    </row>
    <row r="5" spans="1:7" x14ac:dyDescent="0.25">
      <c r="A5" s="16">
        <v>1</v>
      </c>
      <c r="B5" s="21"/>
      <c r="C5" s="21"/>
      <c r="D5" s="21"/>
      <c r="E5" s="21"/>
      <c r="F5" s="21"/>
      <c r="G5" s="21"/>
    </row>
    <row r="6" spans="1:7" x14ac:dyDescent="0.25">
      <c r="A6" s="16">
        <v>2</v>
      </c>
      <c r="B6" s="21"/>
      <c r="C6" s="21"/>
      <c r="D6" s="21"/>
      <c r="E6" s="21"/>
      <c r="F6" s="21"/>
      <c r="G6" s="21"/>
    </row>
    <row r="7" spans="1:7" x14ac:dyDescent="0.25">
      <c r="A7" s="16">
        <v>3</v>
      </c>
      <c r="B7" s="21"/>
      <c r="C7" s="21"/>
      <c r="D7" s="21"/>
      <c r="E7" s="21"/>
      <c r="F7" s="21"/>
      <c r="G7" s="21"/>
    </row>
    <row r="8" spans="1:7" x14ac:dyDescent="0.25">
      <c r="A8" s="16">
        <v>4</v>
      </c>
      <c r="B8" s="21"/>
      <c r="C8" s="21"/>
      <c r="D8" s="21"/>
      <c r="E8" s="21"/>
      <c r="F8" s="21"/>
      <c r="G8" s="21"/>
    </row>
    <row r="9" spans="1:7" x14ac:dyDescent="0.25">
      <c r="A9" s="16">
        <v>5</v>
      </c>
      <c r="B9" s="21"/>
      <c r="C9" s="21"/>
      <c r="D9" s="21"/>
      <c r="E9" s="21"/>
      <c r="F9" s="21"/>
      <c r="G9" s="21"/>
    </row>
    <row r="10" spans="1:7" x14ac:dyDescent="0.25">
      <c r="A10" s="16">
        <v>6</v>
      </c>
      <c r="B10" s="21"/>
      <c r="C10" s="21"/>
      <c r="D10" s="21"/>
      <c r="E10" s="21"/>
      <c r="F10" s="21"/>
      <c r="G10" s="21"/>
    </row>
    <row r="11" spans="1:7" x14ac:dyDescent="0.25">
      <c r="A11" s="16">
        <v>7</v>
      </c>
      <c r="B11" s="21"/>
      <c r="C11" s="21"/>
      <c r="D11" s="21"/>
      <c r="E11" s="21"/>
      <c r="F11" s="21"/>
      <c r="G11" s="21"/>
    </row>
    <row r="12" spans="1:7" x14ac:dyDescent="0.25">
      <c r="A12" s="16">
        <v>8</v>
      </c>
      <c r="B12" s="21"/>
      <c r="C12" s="21"/>
      <c r="D12" s="21"/>
      <c r="E12" s="21"/>
      <c r="F12" s="21"/>
      <c r="G12" s="21"/>
    </row>
    <row r="13" spans="1:7" x14ac:dyDescent="0.25">
      <c r="A13" s="16">
        <v>9</v>
      </c>
      <c r="B13" s="21"/>
      <c r="C13" s="21"/>
      <c r="D13" s="21"/>
      <c r="E13" s="21"/>
      <c r="F13" s="21"/>
      <c r="G13" s="21"/>
    </row>
    <row r="14" spans="1:7" x14ac:dyDescent="0.25">
      <c r="A14" s="16">
        <v>10</v>
      </c>
      <c r="B14" s="21"/>
      <c r="C14" s="21"/>
      <c r="D14" s="21"/>
      <c r="E14" s="21"/>
      <c r="F14" s="21"/>
      <c r="G14" s="21"/>
    </row>
    <row r="16" spans="1:7" x14ac:dyDescent="0.25">
      <c r="A16" s="14" t="s">
        <v>223</v>
      </c>
      <c r="B16" s="14"/>
      <c r="C16" s="14"/>
      <c r="D16" s="14"/>
      <c r="E16" s="14"/>
      <c r="F16" s="14"/>
      <c r="G16" s="14"/>
    </row>
    <row r="17" spans="1:7" x14ac:dyDescent="0.25">
      <c r="A17" s="29" t="s">
        <v>224</v>
      </c>
      <c r="B17" s="29"/>
      <c r="C17" s="29"/>
      <c r="D17" s="21"/>
      <c r="E17" s="21"/>
      <c r="F17" s="21"/>
      <c r="G17" s="21"/>
    </row>
    <row r="18" spans="1:7" x14ac:dyDescent="0.25">
      <c r="A18" s="29" t="s">
        <v>225</v>
      </c>
      <c r="B18" s="29"/>
      <c r="C18" s="29"/>
      <c r="D18" s="21"/>
      <c r="E18" s="21"/>
      <c r="F18" s="21"/>
      <c r="G18" s="21"/>
    </row>
    <row r="19" spans="1:7" x14ac:dyDescent="0.25">
      <c r="A19" s="29" t="s">
        <v>226</v>
      </c>
      <c r="B19" s="29"/>
      <c r="C19" s="29"/>
      <c r="D19" s="21"/>
      <c r="E19" s="21"/>
      <c r="F19" s="21"/>
      <c r="G19" s="21"/>
    </row>
    <row r="20" spans="1:7" x14ac:dyDescent="0.25">
      <c r="A20" s="29" t="s">
        <v>227</v>
      </c>
      <c r="B20" s="29"/>
      <c r="C20" s="29"/>
      <c r="D20" s="21"/>
      <c r="E20" s="21"/>
      <c r="F20" s="21"/>
      <c r="G20" s="21"/>
    </row>
    <row r="21" spans="1:7" x14ac:dyDescent="0.25">
      <c r="A21" s="29" t="s">
        <v>228</v>
      </c>
      <c r="B21" s="29"/>
      <c r="C21" s="29"/>
      <c r="D21" s="21"/>
      <c r="E21" s="21"/>
      <c r="F21" s="21"/>
      <c r="G21" s="21"/>
    </row>
  </sheetData>
  <mergeCells count="13">
    <mergeCell ref="A1:G1"/>
    <mergeCell ref="A2:G2"/>
    <mergeCell ref="A16:G16"/>
    <mergeCell ref="A17:C17"/>
    <mergeCell ref="D17:G17"/>
    <mergeCell ref="A18:C18"/>
    <mergeCell ref="D18:G18"/>
    <mergeCell ref="A19:C19"/>
    <mergeCell ref="D19:G19"/>
    <mergeCell ref="A20:C20"/>
    <mergeCell ref="D20:G20"/>
    <mergeCell ref="A21:C21"/>
    <mergeCell ref="D21:G21"/>
  </mergeCells>
  <dataValidations count="2">
    <dataValidation type="list" allowBlank="1" sqref="F10:F14">
      <formula1>"$-Budget,$$-Mid,$$$-Premium,$$$$-High End"</formula1>
    </dataValidation>
    <dataValidation type="list" allowBlank="1" sqref="F5:F14">
      <formula1>"$-Budget,$$-Mid,$$$-Premium,$$$$-High End"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How to Use</vt:lpstr>
      <vt:lpstr>90-Day Marketing Plan</vt:lpstr>
      <vt:lpstr>Lead Sources</vt:lpstr>
      <vt:lpstr>Lead Tracker</vt:lpstr>
      <vt:lpstr>Competitor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2026-03-08T12:29:21Z</dcterms:created>
  <dcterms:modified xsi:type="dcterms:W3CDTF">2026-03-08T12:29:21Z</dcterms:modified>
</cp:coreProperties>
</file>