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Pricing Matrix" state="visible" r:id="rId5"/>
    <sheet sheetId="3" name="Your Price Calculator" state="visible" r:id="rId6"/>
  </sheets>
  <calcPr calcId="171027"/>
</workbook>
</file>

<file path=xl/sharedStrings.xml><?xml version="1.0" encoding="utf-8"?>
<sst xmlns="http://schemas.openxmlformats.org/spreadsheetml/2006/main" count="157" uniqueCount="130">
  <si>
    <t>📋 HOW TO USE: Pricing Matrix</t>
  </si>
  <si>
    <t>ABOUT THIS TEMPLATE</t>
  </si>
  <si>
    <t>Comprehensive pricing reference for concrete work. Use the 'Your Pricing Calculator' sheet to set custom rates based on your costs. Includes regional multipliers, add-on pricing, and minimum job charges.</t>
  </si>
  <si>
    <t>STEP-BY-STEP INSTRUCTIONS</t>
  </si>
  <si>
    <t>1.</t>
  </si>
  <si>
    <t>Review the price ranges on the 'Pricing Matrix' sheet</t>
  </si>
  <si>
    <t>2.</t>
  </si>
  <si>
    <t>Go to 'Your Pricing Calculator' to enter your specific rates</t>
  </si>
  <si>
    <t>3.</t>
  </si>
  <si>
    <t>Enter your hourly rate, overhead %, and profit % — prices auto-calculate</t>
  </si>
  <si>
    <t>4.</t>
  </si>
  <si>
    <t>Use regional multipliers to adjust for your market</t>
  </si>
  <si>
    <t>5.</t>
  </si>
  <si>
    <t>Fill in the 'Your Rate' column on the main matrix with your actual prices</t>
  </si>
  <si>
    <t>6.</t>
  </si>
  <si>
    <t>Reference the add-on pricing when building estimates</t>
  </si>
  <si>
    <t>7.</t>
  </si>
  <si>
    <t>Adjust seasonal multipliers based on your local market</t>
  </si>
  <si>
    <t>🟡 YELLOW CELLS = Editable (enter your data here)</t>
  </si>
  <si>
    <t>📊 CELLS WITH FORMULAS (don't overwrite): 'Your Pricing Calculator' — Column E (Your Price/SF) auto-calculates</t>
  </si>
  <si>
    <t>✏️ EDITABLE CELLS: Yellow cells: 'Your Rate' column and 'Your Pricing Calculator' inputs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</si>
  <si>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</si>
  <si>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</si>
  <si>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</si>
  <si>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</si>
  <si>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</si>
  <si>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</si>
  <si>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</si>
  <si>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</si>
  <si>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</si>
  <si>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CONCRETE PRICING MATRIX — 2024-2025</t>
  </si>
  <si>
    <t>Customizable pricing reference by project type, complexity, and region</t>
  </si>
  <si>
    <t>PRICE PER SQUARE FOOT — BY PROJECT TYPE &amp; COMPLEXITY</t>
  </si>
  <si>
    <t>Project Type</t>
  </si>
  <si>
    <t>Budget</t>
  </si>
  <si>
    <t>Standard</t>
  </si>
  <si>
    <t>Mid-Range</t>
  </si>
  <si>
    <t>Premium</t>
  </si>
  <si>
    <t>Luxury</t>
  </si>
  <si>
    <t>Your Rate</t>
  </si>
  <si>
    <t>Basic Slab (4")</t>
  </si>
  <si>
    <t>Driveway (4-6")</t>
  </si>
  <si>
    <t>Patio (basic)</t>
  </si>
  <si>
    <t>Patio (decorative)</t>
  </si>
  <si>
    <t>Stamped Concrete</t>
  </si>
  <si>
    <t>Sidewalk</t>
  </si>
  <si>
    <t>Foundation (footings)</t>
  </si>
  <si>
    <t>Foundation (walls)</t>
  </si>
  <si>
    <t>Garage Floor</t>
  </si>
  <si>
    <t>Pool Deck</t>
  </si>
  <si>
    <t>Retaining Wall</t>
  </si>
  <si>
    <t>Concrete Repair</t>
  </si>
  <si>
    <t>Polished Concrete</t>
  </si>
  <si>
    <t>REGIONAL PRICE MULTIPLIERS</t>
  </si>
  <si>
    <t>Region</t>
  </si>
  <si>
    <t>Multiplier</t>
  </si>
  <si>
    <t>Concrete/CY</t>
  </si>
  <si>
    <t>Labor/Hr</t>
  </si>
  <si>
    <t>Notes</t>
  </si>
  <si>
    <t>Northeast (NY, NJ, CT, MA)</t>
  </si>
  <si>
    <t>High labor costs, union markets</t>
  </si>
  <si>
    <t>Southeast (FL, GA, NC, SC)</t>
  </si>
  <si>
    <t>Year-round work, competitive</t>
  </si>
  <si>
    <t>Midwest (OH, IL, MI, IN)</t>
  </si>
  <si>
    <t>Seasonal — winter premium</t>
  </si>
  <si>
    <t>Southwest (AZ, NM, NV)</t>
  </si>
  <si>
    <t>Heat considerations</t>
  </si>
  <si>
    <t>Texas / South Central</t>
  </si>
  <si>
    <t>Very competitive market</t>
  </si>
  <si>
    <t>West Coast (CA)</t>
  </si>
  <si>
    <t>Regulatory costs, high COL</t>
  </si>
  <si>
    <t>Pacific NW (OR, WA)</t>
  </si>
  <si>
    <t>Rain season impacts</t>
  </si>
  <si>
    <t>Mountain (CO, UT, MT)</t>
  </si>
  <si>
    <t>Altitude / access</t>
  </si>
  <si>
    <t>ADD-ON PRICING</t>
  </si>
  <si>
    <t>Add-On Service</t>
  </si>
  <si>
    <t>Unit</t>
  </si>
  <si>
    <t>Low</t>
  </si>
  <si>
    <t>Average</t>
  </si>
  <si>
    <t>High</t>
  </si>
  <si>
    <t>Your Price</t>
  </si>
  <si>
    <t>Demo / removal</t>
  </si>
  <si>
    <t>per SF</t>
  </si>
  <si>
    <t>Gravel base (4")</t>
  </si>
  <si>
    <t>Rebar reinforcement</t>
  </si>
  <si>
    <t>Wire mesh</t>
  </si>
  <si>
    <t>Color integral</t>
  </si>
  <si>
    <t>per CY</t>
  </si>
  <si>
    <t>Color hardener</t>
  </si>
  <si>
    <t>Stamping</t>
  </si>
  <si>
    <t>Exposed aggregate</t>
  </si>
  <si>
    <t>Sealer (acrylic)</t>
  </si>
  <si>
    <t>Sealer (epoxy)</t>
  </si>
  <si>
    <t>Heated concrete</t>
  </si>
  <si>
    <t>Fiber reinforcement</t>
  </si>
  <si>
    <t>Pump truck</t>
  </si>
  <si>
    <t>flat rate</t>
  </si>
  <si>
    <t>Saturday/overtime</t>
  </si>
  <si>
    <t>multiplier</t>
  </si>
  <si>
    <t>RECOMMENDED MINIMUM JOB CHARGES</t>
  </si>
  <si>
    <t>Minimum Charge</t>
  </si>
  <si>
    <t>Covers</t>
  </si>
  <si>
    <t>Sidewalk / Small Slab</t>
  </si>
  <si>
    <t>Mobilization + small pour (under 50 SF)</t>
  </si>
  <si>
    <t>Driveway</t>
  </si>
  <si>
    <t>Minimum viable driveway job</t>
  </si>
  <si>
    <t>Patio</t>
  </si>
  <si>
    <t>Minimum patio project</t>
  </si>
  <si>
    <t>Foundation Repair</t>
  </si>
  <si>
    <t>Minimum foundation work</t>
  </si>
  <si>
    <t>Setup cost for stamps + colors</t>
  </si>
  <si>
    <t>Minimum repair/patch job</t>
  </si>
  <si>
    <t>Steps (per step)</t>
  </si>
  <si>
    <t>Single step replacement</t>
  </si>
  <si>
    <t>Minimum retaining wall</t>
  </si>
  <si>
    <t>YOUR CUSTOM PRICE CALCULATOR</t>
  </si>
  <si>
    <t>Enter YOUR rates below — prices auto-calculate for every project type</t>
  </si>
  <si>
    <t>YOUR RATES</t>
  </si>
  <si>
    <t>Your Hourly Labor Rate:</t>
  </si>
  <si>
    <t>Overhead %:</t>
  </si>
  <si>
    <t>Target Profit Margin %:</t>
  </si>
  <si>
    <t>Concrete Cost ($/CY):</t>
  </si>
  <si>
    <t>YOUR AUTO-CALCULATED PRICING PER SQUARE FOOT</t>
  </si>
  <si>
    <t>Material $/SF</t>
  </si>
  <si>
    <t>Labor Hrs/SF</t>
  </si>
  <si>
    <t>Labor $/SF</t>
  </si>
  <si>
    <t>YOUR Price/SF</t>
  </si>
  <si>
    <t>Min Job Charge</t>
  </si>
  <si>
    <t>Steps/Landing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</si>
</sst>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0x"/>
  </numFmts>
  <fonts count="13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FFFFFF"/>
      <sz val="11"/>
    </font>
    <font>
      <b/>
      <color rgb="FF1E293B"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3" borderId="0" xfId="0" applyFont="1" applyFill="1"/>
    <xf numFmtId="0" fontId="4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165" fontId="0" fillId="0" borderId="1" xfId="0" applyNumberFormat="1" applyBorder="1"/>
    <xf numFmtId="0" fontId="11" fillId="0" borderId="0" xfId="0" applyFont="1"/>
    <xf numFmtId="0" fontId="12" fillId="0" borderId="0" xfId="0" applyFont="1"/>
    <xf numFmtId="9" fontId="0" fillId="2" borderId="1" xfId="0" applyNumberFormat="1" applyFill="1" applyBorder="1"/>
    <xf numFmtId="2" fontId="0" fillId="0" borderId="1" xfId="0" applyNumberFormat="1" applyBorder="1"/>
    <xf numFmtId="164" fontId="1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28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5" spans="1:2" x14ac:dyDescent="0.25">
      <c r="A15" s="5" t="s">
        <v>18</v>
      </c>
      <c r="B15" s="5"/>
    </row>
    <row r="16" spans="1:2" x14ac:dyDescent="0.25">
      <c r="A16" s="6" t="s">
        <v>19</v>
      </c>
      <c r="B16" s="6"/>
    </row>
    <row r="17" spans="1:2" x14ac:dyDescent="0.25">
      <c r="A17" s="7" t="s">
        <v>20</v>
      </c>
      <c r="B17" s="7"/>
    </row>
    <row r="19" spans="1:2" x14ac:dyDescent="0.25">
      <c r="A19" s="2" t="s">
        <v>21</v>
      </c>
      <c r="B19" s="2"/>
    </row>
    <row r="20" spans="1:2" x14ac:dyDescent="0.25">
      <c r="A20" s="8" t="s">
        <v>22</v>
      </c>
      <c r="B20" s="8"/>
    </row>
    <row r="21" spans="1:2" x14ac:dyDescent="0.25">
      <c r="A21" s="8" t="s">
        <v>23</v>
      </c>
      <c r="B21" s="8"/>
    </row>
    <row r="22" spans="1:2" x14ac:dyDescent="0.25">
      <c r="A22" s="8" t="s">
        <v>24</v>
      </c>
      <c r="B22" s="8"/>
    </row>
    <row r="23" spans="1:2" x14ac:dyDescent="0.25">
      <c r="A23" s="8" t="s">
        <v>25</v>
      </c>
      <c r="B23" s="8"/>
    </row>
    <row r="24" spans="1:2" x14ac:dyDescent="0.25">
      <c r="A24" s="8" t="s">
        <v>26</v>
      </c>
      <c r="B24" s="8"/>
    </row>
    <row r="25" spans="1:2" x14ac:dyDescent="0.25">
      <c r="A25" s="8" t="s">
        <v>27</v>
      </c>
      <c r="B25" s="8"/>
    </row>
    <row r="27" spans="1:2" x14ac:dyDescent="0.25">
      <c r="A27" s="9" t="s">
        <v>28</v>
      </c>
      <c r="B27" s="9"/>
    </row>
    <row r="28" spans="1:2" x14ac:dyDescent="0.25">
      <c r="A28" s="10" t="s">
        <v>29</v>
      </c>
      <c r="B28" s="10"/>
    </row>
  </sheetData>
  <mergeCells count="16">
    <mergeCell ref="A1:B1"/>
    <mergeCell ref="A3:B3"/>
    <mergeCell ref="A4:B4"/>
    <mergeCell ref="A6:B6"/>
    <mergeCell ref="A15:B15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FormatPr defaultRowHeight="15" outlineLevelRow="0" outlineLevelCol="0" x14ac:dyDescent="55"/>
  <cols>
    <col min="1" max="1" width="24" customWidth="1"/>
    <col min="2" max="7" width="14" customWidth="1"/>
  </cols>
  <sheetData>
    <row r="1" ht="30" customHeight="1" spans="1:7" x14ac:dyDescent="0.25">
      <c r="A1" s="1" t="s">
        <v>30</v>
      </c>
      <c r="B1" s="1"/>
      <c r="C1" s="1"/>
      <c r="D1" s="1"/>
      <c r="E1" s="1"/>
      <c r="F1" s="1"/>
      <c r="G1" s="1"/>
    </row>
    <row r="2" spans="1:7" x14ac:dyDescent="0.25">
      <c r="A2" s="10" t="s">
        <v>31</v>
      </c>
      <c r="B2" s="10"/>
      <c r="C2" s="10"/>
      <c r="D2" s="10"/>
      <c r="E2" s="10"/>
      <c r="F2" s="10"/>
      <c r="G2" s="10"/>
    </row>
    <row r="4" spans="1:7" x14ac:dyDescent="0.25">
      <c r="A4" s="11" t="s">
        <v>32</v>
      </c>
      <c r="B4" s="11"/>
      <c r="C4" s="11"/>
      <c r="D4" s="11"/>
      <c r="E4" s="11"/>
      <c r="F4" s="11"/>
      <c r="G4" s="11"/>
    </row>
    <row r="5" spans="1:7" x14ac:dyDescent="0.25">
      <c r="A5" s="12" t="s">
        <v>33</v>
      </c>
      <c r="B5" s="12" t="s">
        <v>34</v>
      </c>
      <c r="C5" s="12" t="s">
        <v>35</v>
      </c>
      <c r="D5" s="12" t="s">
        <v>36</v>
      </c>
      <c r="E5" s="12" t="s">
        <v>37</v>
      </c>
      <c r="F5" s="12" t="s">
        <v>38</v>
      </c>
      <c r="G5" s="12" t="s">
        <v>39</v>
      </c>
    </row>
    <row r="6" spans="1:7" x14ac:dyDescent="0.25">
      <c r="A6" s="13" t="s">
        <v>40</v>
      </c>
      <c r="B6" s="14">
        <v>6</v>
      </c>
      <c r="C6" s="14">
        <v>8</v>
      </c>
      <c r="D6" s="14">
        <v>10</v>
      </c>
      <c r="E6" s="14">
        <v>12</v>
      </c>
      <c r="F6" s="14">
        <v>14</v>
      </c>
      <c r="G6" s="15"/>
    </row>
    <row r="7" spans="1:7" x14ac:dyDescent="0.25">
      <c r="A7" s="13" t="s">
        <v>41</v>
      </c>
      <c r="B7" s="14">
        <v>8</v>
      </c>
      <c r="C7" s="14">
        <v>10</v>
      </c>
      <c r="D7" s="14">
        <v>13</v>
      </c>
      <c r="E7" s="14">
        <v>16</v>
      </c>
      <c r="F7" s="14">
        <v>18</v>
      </c>
      <c r="G7" s="15"/>
    </row>
    <row r="8" spans="1:7" x14ac:dyDescent="0.25">
      <c r="A8" s="13" t="s">
        <v>42</v>
      </c>
      <c r="B8" s="14">
        <v>8</v>
      </c>
      <c r="C8" s="14">
        <v>10</v>
      </c>
      <c r="D8" s="14">
        <v>14</v>
      </c>
      <c r="E8" s="14">
        <v>18</v>
      </c>
      <c r="F8" s="14">
        <v>22</v>
      </c>
      <c r="G8" s="15"/>
    </row>
    <row r="9" spans="1:7" x14ac:dyDescent="0.25">
      <c r="A9" s="13" t="s">
        <v>43</v>
      </c>
      <c r="B9" s="14">
        <v>12</v>
      </c>
      <c r="C9" s="14">
        <v>16</v>
      </c>
      <c r="D9" s="14">
        <v>20</v>
      </c>
      <c r="E9" s="14">
        <v>25</v>
      </c>
      <c r="F9" s="14">
        <v>30</v>
      </c>
      <c r="G9" s="15"/>
    </row>
    <row r="10" spans="1:7" x14ac:dyDescent="0.25">
      <c r="A10" s="13" t="s">
        <v>44</v>
      </c>
      <c r="B10" s="14">
        <v>12</v>
      </c>
      <c r="C10" s="14">
        <v>16</v>
      </c>
      <c r="D10" s="14">
        <v>20</v>
      </c>
      <c r="E10" s="14">
        <v>25</v>
      </c>
      <c r="F10" s="14">
        <v>32</v>
      </c>
      <c r="G10" s="15"/>
    </row>
    <row r="11" spans="1:7" x14ac:dyDescent="0.25">
      <c r="A11" s="13" t="s">
        <v>45</v>
      </c>
      <c r="B11" s="14">
        <v>6</v>
      </c>
      <c r="C11" s="14">
        <v>8</v>
      </c>
      <c r="D11" s="14">
        <v>10</v>
      </c>
      <c r="E11" s="14">
        <v>12</v>
      </c>
      <c r="F11" s="14">
        <v>14</v>
      </c>
      <c r="G11" s="15"/>
    </row>
    <row r="12" spans="1:7" x14ac:dyDescent="0.25">
      <c r="A12" s="13" t="s">
        <v>46</v>
      </c>
      <c r="B12" s="14">
        <v>8</v>
      </c>
      <c r="C12" s="14">
        <v>10</v>
      </c>
      <c r="D12" s="14">
        <v>13</v>
      </c>
      <c r="E12" s="14">
        <v>16</v>
      </c>
      <c r="F12" s="14">
        <v>20</v>
      </c>
      <c r="G12" s="15"/>
    </row>
    <row r="13" spans="1:7" x14ac:dyDescent="0.25">
      <c r="A13" s="13" t="s">
        <v>47</v>
      </c>
      <c r="B13" s="14">
        <v>10</v>
      </c>
      <c r="C13" s="14">
        <v>14</v>
      </c>
      <c r="D13" s="14">
        <v>18</v>
      </c>
      <c r="E13" s="14">
        <v>22</v>
      </c>
      <c r="F13" s="14">
        <v>28</v>
      </c>
      <c r="G13" s="15"/>
    </row>
    <row r="14" spans="1:7" x14ac:dyDescent="0.25">
      <c r="A14" s="13" t="s">
        <v>48</v>
      </c>
      <c r="B14" s="14">
        <v>6</v>
      </c>
      <c r="C14" s="14">
        <v>8</v>
      </c>
      <c r="D14" s="14">
        <v>10</v>
      </c>
      <c r="E14" s="14">
        <v>12</v>
      </c>
      <c r="F14" s="14">
        <v>15</v>
      </c>
      <c r="G14" s="15"/>
    </row>
    <row r="15" spans="1:7" x14ac:dyDescent="0.25">
      <c r="A15" s="13" t="s">
        <v>49</v>
      </c>
      <c r="B15" s="14">
        <v>10</v>
      </c>
      <c r="C15" s="14">
        <v>14</v>
      </c>
      <c r="D15" s="14">
        <v>18</v>
      </c>
      <c r="E15" s="14">
        <v>24</v>
      </c>
      <c r="F15" s="14">
        <v>30</v>
      </c>
      <c r="G15" s="15"/>
    </row>
    <row r="16" spans="1:7" x14ac:dyDescent="0.25">
      <c r="A16" s="13" t="s">
        <v>50</v>
      </c>
      <c r="B16" s="14">
        <v>20</v>
      </c>
      <c r="C16" s="14">
        <v>28</v>
      </c>
      <c r="D16" s="14">
        <v>35</v>
      </c>
      <c r="E16" s="14">
        <v>45</v>
      </c>
      <c r="F16" s="14">
        <v>55</v>
      </c>
      <c r="G16" s="15"/>
    </row>
    <row r="17" spans="1:7" x14ac:dyDescent="0.25">
      <c r="A17" s="13" t="s">
        <v>51</v>
      </c>
      <c r="B17" s="14">
        <v>5</v>
      </c>
      <c r="C17" s="14">
        <v>8</v>
      </c>
      <c r="D17" s="14">
        <v>12</v>
      </c>
      <c r="E17" s="14">
        <v>16</v>
      </c>
      <c r="F17" s="14">
        <v>20</v>
      </c>
      <c r="G17" s="15"/>
    </row>
    <row r="18" spans="1:7" x14ac:dyDescent="0.25">
      <c r="A18" s="13" t="s">
        <v>52</v>
      </c>
      <c r="B18" s="14">
        <v>3</v>
      </c>
      <c r="C18" s="14">
        <v>5</v>
      </c>
      <c r="D18" s="14">
        <v>8</v>
      </c>
      <c r="E18" s="14">
        <v>10</v>
      </c>
      <c r="F18" s="14">
        <v>14</v>
      </c>
      <c r="G18" s="15"/>
    </row>
    <row r="20" spans="1:7" x14ac:dyDescent="0.25">
      <c r="A20" s="11" t="s">
        <v>53</v>
      </c>
      <c r="B20" s="11"/>
      <c r="C20" s="11"/>
      <c r="D20" s="11"/>
      <c r="E20" s="11"/>
      <c r="F20" s="11"/>
      <c r="G20" s="11"/>
    </row>
    <row r="21" spans="1:5" x14ac:dyDescent="0.25">
      <c r="A21" s="12" t="s">
        <v>54</v>
      </c>
      <c r="B21" s="12" t="s">
        <v>55</v>
      </c>
      <c r="C21" s="12" t="s">
        <v>56</v>
      </c>
      <c r="D21" s="12" t="s">
        <v>57</v>
      </c>
      <c r="E21" s="12" t="s">
        <v>58</v>
      </c>
    </row>
    <row r="22" spans="1:5" x14ac:dyDescent="0.25">
      <c r="A22" s="13" t="s">
        <v>59</v>
      </c>
      <c r="B22" s="16">
        <v>1.25</v>
      </c>
      <c r="C22" s="14">
        <v>175</v>
      </c>
      <c r="D22" s="14">
        <v>65</v>
      </c>
      <c r="E22" s="13" t="s">
        <v>60</v>
      </c>
    </row>
    <row r="23" spans="1:5" x14ac:dyDescent="0.25">
      <c r="A23" s="13" t="s">
        <v>61</v>
      </c>
      <c r="B23" s="16">
        <v>0.95</v>
      </c>
      <c r="C23" s="14">
        <v>140</v>
      </c>
      <c r="D23" s="14">
        <v>50</v>
      </c>
      <c r="E23" s="13" t="s">
        <v>62</v>
      </c>
    </row>
    <row r="24" spans="1:5" x14ac:dyDescent="0.25">
      <c r="A24" s="13" t="s">
        <v>63</v>
      </c>
      <c r="B24" s="16">
        <v>1</v>
      </c>
      <c r="C24" s="14">
        <v>145</v>
      </c>
      <c r="D24" s="14">
        <v>55</v>
      </c>
      <c r="E24" s="13" t="s">
        <v>64</v>
      </c>
    </row>
    <row r="25" spans="1:5" x14ac:dyDescent="0.25">
      <c r="A25" s="13" t="s">
        <v>65</v>
      </c>
      <c r="B25" s="16">
        <v>1.05</v>
      </c>
      <c r="C25" s="14">
        <v>150</v>
      </c>
      <c r="D25" s="14">
        <v>55</v>
      </c>
      <c r="E25" s="13" t="s">
        <v>66</v>
      </c>
    </row>
    <row r="26" spans="1:5" x14ac:dyDescent="0.25">
      <c r="A26" s="13" t="s">
        <v>67</v>
      </c>
      <c r="B26" s="16">
        <v>0.9</v>
      </c>
      <c r="C26" s="14">
        <v>130</v>
      </c>
      <c r="D26" s="14">
        <v>48</v>
      </c>
      <c r="E26" s="13" t="s">
        <v>68</v>
      </c>
    </row>
    <row r="27" spans="1:5" x14ac:dyDescent="0.25">
      <c r="A27" s="13" t="s">
        <v>69</v>
      </c>
      <c r="B27" s="16">
        <v>1.35</v>
      </c>
      <c r="C27" s="14">
        <v>185</v>
      </c>
      <c r="D27" s="14">
        <v>72</v>
      </c>
      <c r="E27" s="13" t="s">
        <v>70</v>
      </c>
    </row>
    <row r="28" spans="1:5" x14ac:dyDescent="0.25">
      <c r="A28" s="13" t="s">
        <v>71</v>
      </c>
      <c r="B28" s="16">
        <v>1.15</v>
      </c>
      <c r="C28" s="14">
        <v>165</v>
      </c>
      <c r="D28" s="14">
        <v>60</v>
      </c>
      <c r="E28" s="13" t="s">
        <v>72</v>
      </c>
    </row>
    <row r="29" spans="1:5" x14ac:dyDescent="0.25">
      <c r="A29" s="13" t="s">
        <v>73</v>
      </c>
      <c r="B29" s="16">
        <v>1.1</v>
      </c>
      <c r="C29" s="14">
        <v>155</v>
      </c>
      <c r="D29" s="14">
        <v>58</v>
      </c>
      <c r="E29" s="13" t="s">
        <v>74</v>
      </c>
    </row>
    <row r="31" spans="1:7" x14ac:dyDescent="0.25">
      <c r="A31" s="11" t="s">
        <v>75</v>
      </c>
      <c r="B31" s="11"/>
      <c r="C31" s="11"/>
      <c r="D31" s="11"/>
      <c r="E31" s="11"/>
      <c r="F31" s="11"/>
      <c r="G31" s="11"/>
    </row>
    <row r="32" spans="1:6" x14ac:dyDescent="0.25">
      <c r="A32" s="12" t="s">
        <v>76</v>
      </c>
      <c r="B32" s="12" t="s">
        <v>77</v>
      </c>
      <c r="C32" s="12" t="s">
        <v>78</v>
      </c>
      <c r="D32" s="12" t="s">
        <v>79</v>
      </c>
      <c r="E32" s="12" t="s">
        <v>80</v>
      </c>
      <c r="F32" s="12" t="s">
        <v>81</v>
      </c>
    </row>
    <row r="33" spans="1:6" x14ac:dyDescent="0.25">
      <c r="A33" s="13" t="s">
        <v>82</v>
      </c>
      <c r="B33" s="13" t="s">
        <v>83</v>
      </c>
      <c r="C33" s="14">
        <v>2</v>
      </c>
      <c r="D33" s="14">
        <v>3.5</v>
      </c>
      <c r="E33" s="14">
        <v>5</v>
      </c>
      <c r="F33" s="15"/>
    </row>
    <row r="34" spans="1:6" x14ac:dyDescent="0.25">
      <c r="A34" s="13" t="s">
        <v>84</v>
      </c>
      <c r="B34" s="13" t="s">
        <v>83</v>
      </c>
      <c r="C34" s="14">
        <v>0.5</v>
      </c>
      <c r="D34" s="14">
        <v>0.75</v>
      </c>
      <c r="E34" s="14">
        <v>1</v>
      </c>
      <c r="F34" s="15"/>
    </row>
    <row r="35" spans="1:6" x14ac:dyDescent="0.25">
      <c r="A35" s="13" t="s">
        <v>85</v>
      </c>
      <c r="B35" s="13" t="s">
        <v>83</v>
      </c>
      <c r="C35" s="14">
        <v>0.6</v>
      </c>
      <c r="D35" s="14">
        <v>0.85</v>
      </c>
      <c r="E35" s="14">
        <v>1.2</v>
      </c>
      <c r="F35" s="15"/>
    </row>
    <row r="36" spans="1:6" x14ac:dyDescent="0.25">
      <c r="A36" s="13" t="s">
        <v>86</v>
      </c>
      <c r="B36" s="13" t="s">
        <v>83</v>
      </c>
      <c r="C36" s="14">
        <v>0.3</v>
      </c>
      <c r="D36" s="14">
        <v>0.45</v>
      </c>
      <c r="E36" s="14">
        <v>0.65</v>
      </c>
      <c r="F36" s="15"/>
    </row>
    <row r="37" spans="1:6" x14ac:dyDescent="0.25">
      <c r="A37" s="13" t="s">
        <v>87</v>
      </c>
      <c r="B37" s="13" t="s">
        <v>88</v>
      </c>
      <c r="C37" s="14">
        <v>15</v>
      </c>
      <c r="D37" s="14">
        <v>25</v>
      </c>
      <c r="E37" s="14">
        <v>40</v>
      </c>
      <c r="F37" s="15"/>
    </row>
    <row r="38" spans="1:6" x14ac:dyDescent="0.25">
      <c r="A38" s="13" t="s">
        <v>89</v>
      </c>
      <c r="B38" s="13" t="s">
        <v>83</v>
      </c>
      <c r="C38" s="14">
        <v>0.5</v>
      </c>
      <c r="D38" s="14">
        <v>0.85</v>
      </c>
      <c r="E38" s="14">
        <v>1.25</v>
      </c>
      <c r="F38" s="15"/>
    </row>
    <row r="39" spans="1:6" x14ac:dyDescent="0.25">
      <c r="A39" s="13" t="s">
        <v>90</v>
      </c>
      <c r="B39" s="13" t="s">
        <v>83</v>
      </c>
      <c r="C39" s="14">
        <v>3</v>
      </c>
      <c r="D39" s="14">
        <v>5</v>
      </c>
      <c r="E39" s="14">
        <v>8</v>
      </c>
      <c r="F39" s="15"/>
    </row>
    <row r="40" spans="1:6" x14ac:dyDescent="0.25">
      <c r="A40" s="13" t="s">
        <v>91</v>
      </c>
      <c r="B40" s="13" t="s">
        <v>83</v>
      </c>
      <c r="C40" s="14">
        <v>1.5</v>
      </c>
      <c r="D40" s="14">
        <v>2.5</v>
      </c>
      <c r="E40" s="14">
        <v>4</v>
      </c>
      <c r="F40" s="15"/>
    </row>
    <row r="41" spans="1:6" x14ac:dyDescent="0.25">
      <c r="A41" s="13" t="s">
        <v>92</v>
      </c>
      <c r="B41" s="13" t="s">
        <v>83</v>
      </c>
      <c r="C41" s="14">
        <v>0.25</v>
      </c>
      <c r="D41" s="14">
        <v>0.4</v>
      </c>
      <c r="E41" s="14">
        <v>0.6</v>
      </c>
      <c r="F41" s="15"/>
    </row>
    <row r="42" spans="1:6" x14ac:dyDescent="0.25">
      <c r="A42" s="13" t="s">
        <v>93</v>
      </c>
      <c r="B42" s="13" t="s">
        <v>83</v>
      </c>
      <c r="C42" s="14">
        <v>2</v>
      </c>
      <c r="D42" s="14">
        <v>3.5</v>
      </c>
      <c r="E42" s="14">
        <v>5</v>
      </c>
      <c r="F42" s="15"/>
    </row>
    <row r="43" spans="1:6" x14ac:dyDescent="0.25">
      <c r="A43" s="13" t="s">
        <v>94</v>
      </c>
      <c r="B43" s="13" t="s">
        <v>88</v>
      </c>
      <c r="C43" s="14">
        <v>10</v>
      </c>
      <c r="D43" s="14">
        <v>18</v>
      </c>
      <c r="E43" s="14">
        <v>25</v>
      </c>
      <c r="F43" s="15"/>
    </row>
    <row r="44" spans="1:6" x14ac:dyDescent="0.25">
      <c r="A44" s="13" t="s">
        <v>95</v>
      </c>
      <c r="B44" s="13" t="s">
        <v>88</v>
      </c>
      <c r="C44" s="14">
        <v>8</v>
      </c>
      <c r="D44" s="14">
        <v>12</v>
      </c>
      <c r="E44" s="14">
        <v>18</v>
      </c>
      <c r="F44" s="15"/>
    </row>
    <row r="45" spans="1:6" x14ac:dyDescent="0.25">
      <c r="A45" s="13" t="s">
        <v>96</v>
      </c>
      <c r="B45" s="13" t="s">
        <v>97</v>
      </c>
      <c r="C45" s="14">
        <v>400</v>
      </c>
      <c r="D45" s="14">
        <v>600</v>
      </c>
      <c r="E45" s="14">
        <v>900</v>
      </c>
      <c r="F45" s="15"/>
    </row>
    <row r="46" spans="1:6" x14ac:dyDescent="0.25">
      <c r="A46" s="13" t="s">
        <v>98</v>
      </c>
      <c r="B46" s="13" t="s">
        <v>99</v>
      </c>
      <c r="C46" s="14">
        <v>1.25</v>
      </c>
      <c r="D46" s="14">
        <v>1.5</v>
      </c>
      <c r="E46" s="14">
        <v>2</v>
      </c>
      <c r="F46" s="15"/>
    </row>
    <row r="48" spans="1:7" x14ac:dyDescent="0.25">
      <c r="A48" s="11" t="s">
        <v>100</v>
      </c>
      <c r="B48" s="11"/>
      <c r="C48" s="11"/>
      <c r="D48" s="11"/>
      <c r="E48" s="11"/>
      <c r="F48" s="11"/>
      <c r="G48" s="11"/>
    </row>
    <row r="49" spans="1:3" x14ac:dyDescent="0.25">
      <c r="A49" s="12" t="s">
        <v>33</v>
      </c>
      <c r="B49" s="12" t="s">
        <v>101</v>
      </c>
      <c r="C49" s="12" t="s">
        <v>102</v>
      </c>
    </row>
    <row r="50" spans="1:3" x14ac:dyDescent="0.25">
      <c r="A50" s="13" t="s">
        <v>103</v>
      </c>
      <c r="B50" s="14">
        <v>800</v>
      </c>
      <c r="C50" s="13" t="s">
        <v>104</v>
      </c>
    </row>
    <row r="51" spans="1:3" x14ac:dyDescent="0.25">
      <c r="A51" s="13" t="s">
        <v>105</v>
      </c>
      <c r="B51" s="14">
        <v>1500</v>
      </c>
      <c r="C51" s="13" t="s">
        <v>106</v>
      </c>
    </row>
    <row r="52" spans="1:3" x14ac:dyDescent="0.25">
      <c r="A52" s="13" t="s">
        <v>107</v>
      </c>
      <c r="B52" s="14">
        <v>1200</v>
      </c>
      <c r="C52" s="13" t="s">
        <v>108</v>
      </c>
    </row>
    <row r="53" spans="1:3" x14ac:dyDescent="0.25">
      <c r="A53" s="13" t="s">
        <v>109</v>
      </c>
      <c r="B53" s="14">
        <v>1000</v>
      </c>
      <c r="C53" s="13" t="s">
        <v>110</v>
      </c>
    </row>
    <row r="54" spans="1:3" x14ac:dyDescent="0.25">
      <c r="A54" s="13" t="s">
        <v>44</v>
      </c>
      <c r="B54" s="14">
        <v>2500</v>
      </c>
      <c r="C54" s="13" t="s">
        <v>111</v>
      </c>
    </row>
    <row r="55" spans="1:3" x14ac:dyDescent="0.25">
      <c r="A55" s="13" t="s">
        <v>51</v>
      </c>
      <c r="B55" s="14">
        <v>500</v>
      </c>
      <c r="C55" s="13" t="s">
        <v>112</v>
      </c>
    </row>
    <row r="56" spans="1:3" x14ac:dyDescent="0.25">
      <c r="A56" s="13" t="s">
        <v>113</v>
      </c>
      <c r="B56" s="14">
        <v>300</v>
      </c>
      <c r="C56" s="13" t="s">
        <v>114</v>
      </c>
    </row>
    <row r="57" spans="1:3" x14ac:dyDescent="0.25">
      <c r="A57" s="13" t="s">
        <v>50</v>
      </c>
      <c r="B57" s="14">
        <v>2000</v>
      </c>
      <c r="C57" s="13" t="s">
        <v>115</v>
      </c>
    </row>
  </sheetData>
  <mergeCells count="6">
    <mergeCell ref="A1:G1"/>
    <mergeCell ref="A2:G2"/>
    <mergeCell ref="A4:G4"/>
    <mergeCell ref="A20:G20"/>
    <mergeCell ref="A31:G31"/>
    <mergeCell ref="A48:G48"/>
  </mergeCell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FormatPr defaultRowHeight="15" outlineLevelRow="0" outlineLevelCol="0" x14ac:dyDescent="55"/>
  <cols>
    <col min="1" max="1" width="28" customWidth="1"/>
    <col min="2" max="6" width="16" customWidth="1"/>
  </cols>
  <sheetData>
    <row r="1" ht="28" customHeight="1" spans="1:6" x14ac:dyDescent="0.25">
      <c r="A1" s="17" t="s">
        <v>116</v>
      </c>
      <c r="B1" s="17"/>
      <c r="C1" s="17"/>
      <c r="D1" s="17"/>
      <c r="E1" s="17"/>
      <c r="F1" s="17"/>
    </row>
    <row r="2" spans="1:6" x14ac:dyDescent="0.25">
      <c r="A2" s="10" t="s">
        <v>117</v>
      </c>
      <c r="B2" s="10"/>
      <c r="C2" s="10"/>
      <c r="D2" s="10"/>
      <c r="E2" s="10"/>
      <c r="F2" s="10"/>
    </row>
    <row r="4" spans="1:6" x14ac:dyDescent="0.25">
      <c r="A4" s="11" t="s">
        <v>118</v>
      </c>
      <c r="B4" s="11"/>
      <c r="C4" s="11"/>
      <c r="D4" s="11"/>
      <c r="E4" s="11"/>
      <c r="F4" s="11"/>
    </row>
    <row r="5" spans="1:2" x14ac:dyDescent="0.25">
      <c r="A5" s="18" t="s">
        <v>119</v>
      </c>
      <c r="B5" s="15">
        <v>55</v>
      </c>
    </row>
    <row r="6" spans="1:2" x14ac:dyDescent="0.25">
      <c r="A6" s="18" t="s">
        <v>120</v>
      </c>
      <c r="B6" s="19">
        <v>0.1</v>
      </c>
    </row>
    <row r="7" spans="1:2" x14ac:dyDescent="0.25">
      <c r="A7" s="18" t="s">
        <v>121</v>
      </c>
      <c r="B7" s="19">
        <v>0.2</v>
      </c>
    </row>
    <row r="8" spans="1:2" x14ac:dyDescent="0.25">
      <c r="A8" s="18" t="s">
        <v>122</v>
      </c>
      <c r="B8" s="15">
        <v>150</v>
      </c>
    </row>
    <row r="10" spans="1:6" x14ac:dyDescent="0.25">
      <c r="A10" s="11" t="s">
        <v>123</v>
      </c>
      <c r="B10" s="11"/>
      <c r="C10" s="11"/>
      <c r="D10" s="11"/>
      <c r="E10" s="11"/>
      <c r="F10" s="11"/>
    </row>
    <row r="11" spans="1:6" x14ac:dyDescent="0.25">
      <c r="A11" s="12" t="s">
        <v>33</v>
      </c>
      <c r="B11" s="12" t="s">
        <v>124</v>
      </c>
      <c r="C11" s="12" t="s">
        <v>125</v>
      </c>
      <c r="D11" s="12" t="s">
        <v>126</v>
      </c>
      <c r="E11" s="12" t="s">
        <v>127</v>
      </c>
      <c r="F11" s="12" t="s">
        <v>128</v>
      </c>
    </row>
    <row r="12" spans="1:6" x14ac:dyDescent="0.25">
      <c r="A12" s="13" t="s">
        <v>40</v>
      </c>
      <c r="B12" s="14">
        <v>2.5</v>
      </c>
      <c r="C12" s="20">
        <v>0.08</v>
      </c>
      <c r="D12" s="14">
        <f>C12*B$5</f>
      </c>
      <c r="E12" s="21">
        <f>(B12+D12)*(1+B$6)*(1+B$7)</f>
      </c>
      <c r="F12" s="14">
        <v>800</v>
      </c>
    </row>
    <row r="13" spans="1:6" x14ac:dyDescent="0.25">
      <c r="A13" s="13" t="s">
        <v>41</v>
      </c>
      <c r="B13" s="14">
        <v>3</v>
      </c>
      <c r="C13" s="20">
        <v>0.1</v>
      </c>
      <c r="D13" s="14">
        <f>C13*B$5</f>
      </c>
      <c r="E13" s="21">
        <f>(B13+D13)*(1+B$6)*(1+B$7)</f>
      </c>
      <c r="F13" s="14">
        <v>1200</v>
      </c>
    </row>
    <row r="14" spans="1:6" x14ac:dyDescent="0.25">
      <c r="A14" s="13" t="s">
        <v>42</v>
      </c>
      <c r="B14" s="14">
        <v>3</v>
      </c>
      <c r="C14" s="20">
        <v>0.12</v>
      </c>
      <c r="D14" s="14">
        <f>C14*B$5</f>
      </c>
      <c r="E14" s="21">
        <f>(B14+D14)*(1+B$6)*(1+B$7)</f>
      </c>
      <c r="F14" s="14">
        <v>1000</v>
      </c>
    </row>
    <row r="15" spans="1:6" x14ac:dyDescent="0.25">
      <c r="A15" s="13" t="s">
        <v>43</v>
      </c>
      <c r="B15" s="14">
        <v>4.5</v>
      </c>
      <c r="C15" s="20">
        <v>0.18</v>
      </c>
      <c r="D15" s="14">
        <f>C15*B$5</f>
      </c>
      <c r="E15" s="21">
        <f>(B15+D15)*(1+B$6)*(1+B$7)</f>
      </c>
      <c r="F15" s="14">
        <v>1500</v>
      </c>
    </row>
    <row r="16" spans="1:6" x14ac:dyDescent="0.25">
      <c r="A16" s="13" t="s">
        <v>44</v>
      </c>
      <c r="B16" s="14">
        <v>5</v>
      </c>
      <c r="C16" s="20">
        <v>0.22</v>
      </c>
      <c r="D16" s="14">
        <f>C16*B$5</f>
      </c>
      <c r="E16" s="21">
        <f>(B16+D16)*(1+B$6)*(1+B$7)</f>
      </c>
      <c r="F16" s="14">
        <v>2000</v>
      </c>
    </row>
    <row r="17" spans="1:6" x14ac:dyDescent="0.25">
      <c r="A17" s="13" t="s">
        <v>45</v>
      </c>
      <c r="B17" s="14">
        <v>2.5</v>
      </c>
      <c r="C17" s="20">
        <v>0.08</v>
      </c>
      <c r="D17" s="14">
        <f>C17*B$5</f>
      </c>
      <c r="E17" s="21">
        <f>(B17+D17)*(1+B$6)*(1+B$7)</f>
      </c>
      <c r="F17" s="14">
        <v>600</v>
      </c>
    </row>
    <row r="18" spans="1:6" x14ac:dyDescent="0.25">
      <c r="A18" s="13" t="s">
        <v>46</v>
      </c>
      <c r="B18" s="14">
        <v>4</v>
      </c>
      <c r="C18" s="20">
        <v>0.15</v>
      </c>
      <c r="D18" s="14">
        <f>C18*B$5</f>
      </c>
      <c r="E18" s="21">
        <f>(B18+D18)*(1+B$6)*(1+B$7)</f>
      </c>
      <c r="F18" s="14">
        <v>2500</v>
      </c>
    </row>
    <row r="19" spans="1:6" x14ac:dyDescent="0.25">
      <c r="A19" s="13" t="s">
        <v>47</v>
      </c>
      <c r="B19" s="14">
        <v>5.5</v>
      </c>
      <c r="C19" s="20">
        <v>0.2</v>
      </c>
      <c r="D19" s="14">
        <f>C19*B$5</f>
      </c>
      <c r="E19" s="21">
        <f>(B19+D19)*(1+B$6)*(1+B$7)</f>
      </c>
      <c r="F19" s="14">
        <v>3500</v>
      </c>
    </row>
    <row r="20" spans="1:6" x14ac:dyDescent="0.25">
      <c r="A20" s="13" t="s">
        <v>48</v>
      </c>
      <c r="B20" s="14">
        <v>2.5</v>
      </c>
      <c r="C20" s="20">
        <v>0.09</v>
      </c>
      <c r="D20" s="14">
        <f>C20*B$5</f>
      </c>
      <c r="E20" s="21">
        <f>(B20+D20)*(1+B$6)*(1+B$7)</f>
      </c>
      <c r="F20" s="14">
        <v>1000</v>
      </c>
    </row>
    <row r="21" spans="1:6" x14ac:dyDescent="0.25">
      <c r="A21" s="13" t="s">
        <v>49</v>
      </c>
      <c r="B21" s="14">
        <v>4</v>
      </c>
      <c r="C21" s="20">
        <v>0.16</v>
      </c>
      <c r="D21" s="14">
        <f>C21*B$5</f>
      </c>
      <c r="E21" s="21">
        <f>(B21+D21)*(1+B$6)*(1+B$7)</f>
      </c>
      <c r="F21" s="14">
        <v>1500</v>
      </c>
    </row>
    <row r="22" spans="1:6" x14ac:dyDescent="0.25">
      <c r="A22" s="13" t="s">
        <v>50</v>
      </c>
      <c r="B22" s="14">
        <v>8</v>
      </c>
      <c r="C22" s="20">
        <v>0.3</v>
      </c>
      <c r="D22" s="14">
        <f>C22*B$5</f>
      </c>
      <c r="E22" s="21">
        <f>(B22+D22)*(1+B$6)*(1+B$7)</f>
      </c>
      <c r="F22" s="14">
        <v>2000</v>
      </c>
    </row>
    <row r="23" spans="1:6" x14ac:dyDescent="0.25">
      <c r="A23" s="13" t="s">
        <v>129</v>
      </c>
      <c r="B23" s="14">
        <v>6</v>
      </c>
      <c r="C23" s="20">
        <v>0.25</v>
      </c>
      <c r="D23" s="14">
        <f>C23*B$5</f>
      </c>
      <c r="E23" s="21">
        <f>(B23+D23)*(1+B$6)*(1+B$7)</f>
      </c>
      <c r="F23" s="14">
        <v>800</v>
      </c>
    </row>
    <row r="24" spans="1:6" x14ac:dyDescent="0.25">
      <c r="A24" s="13" t="s">
        <v>52</v>
      </c>
      <c r="B24" s="14">
        <v>3.5</v>
      </c>
      <c r="C24" s="20">
        <v>0.15</v>
      </c>
      <c r="D24" s="14">
        <f>C24*B$5</f>
      </c>
      <c r="E24" s="21">
        <f>(B24+D24)*(1+B$6)*(1+B$7)</f>
      </c>
      <c r="F24" s="14">
        <v>1200</v>
      </c>
    </row>
  </sheetData>
  <mergeCells count="4">
    <mergeCell ref="A1:F1"/>
    <mergeCell ref="A2:F2"/>
    <mergeCell ref="A4:F4"/>
    <mergeCell ref="A10:F10"/>
  </mergeCells>
  <pageSetup paperSize="1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How to Use</vt:lpstr>
      <vt:lpstr>Pricing Matrix</vt:lpstr>
      <vt:lpstr>Your Price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2026-03-08T12:29:21Z</dcterms:created>
  <dcterms:modified xsi:type="dcterms:W3CDTF">2026-03-08T12:29:21Z</dcterms:modified>
</cp:coreProperties>
</file>