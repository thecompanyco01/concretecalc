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</sheets>
  <calcPr calcId="171027"/>
</workbook>
</file>

<file path=xl/sharedStrings.xml><?xml version="1.0" encoding="utf-8"?>
<sst xmlns="http://schemas.openxmlformats.org/spreadsheetml/2006/main" count="177" uniqueCount="158">
  <si>
    <t>📋 HOW TO USE: Patio Estimate</t>
  </si>
  <si>
    <t>ABOUT THIS TEMPLATE</t>
  </si>
  <si>
    <t>Professional residential patio estimate with decorative options. Includes basic concrete, stamped, exposed aggregate, and colored concrete options with decorative borders.</t>
  </si>
  <si>
    <t>STEP-BY-STEP INSTRUCTIONS</t>
  </si>
  <si>
    <t>1.</t>
  </si>
  <si>
    <t>Fill in your company and client information</t>
  </si>
  <si>
    <t>2.</t>
  </si>
  <si>
    <t>Adjust material quantities based on patio size</t>
  </si>
  <si>
    <t>3.</t>
  </si>
  <si>
    <t>Review decorative options with the client — stamped, exposed, colored, etc.</t>
  </si>
  <si>
    <t>4.</t>
  </si>
  <si>
    <t>Price out any project-specific options (steps, seat walls, drainage)</t>
  </si>
  <si>
    <t>5.</t>
  </si>
  <si>
    <t>Adjust labor hours — decorative work takes significantly more time than basic broom finish</t>
  </si>
  <si>
    <t>6.</t>
  </si>
  <si>
    <t>Note: decorative patios typically price at $16-$30/SF vs $8-$14/SF for basic</t>
  </si>
  <si>
    <t>7.</t>
  </si>
  <si>
    <t>Set overhead and profit margins using the dropdowns</t>
  </si>
  <si>
    <t>8.</t>
  </si>
  <si>
    <t>Complete site conditions checklist during your site visit</t>
  </si>
  <si>
    <t>9.</t>
  </si>
  <si>
    <t>Present the estimate showing base price + optional upgrades separately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</si>
  <si>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</si>
  <si>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</si>
  <si>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</si>
  <si>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</si>
  <si>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</si>
  <si>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</si>
  <si>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</si>
  <si>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</si>
  <si>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</si>
  <si>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</si>
  <si>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</si>
  <si>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</si>
  <si>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</si>
  <si>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</si>
  <si>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PATIO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</si>
  <si>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</si>
  <si>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</si>
  <si>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</si>
  <si>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</si>
  <si>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</si>
  <si>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</si>
  <si>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</si>
  <si>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</si>
  <si>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</si>
  <si>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</si>
  <si>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</si>
  <si>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</si>
  <si>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</si>
  <si>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</si>
  <si>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</si>
  <si>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</si>
  <si>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</si>
  <si>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</si>
  <si>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</si>
  <si>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</si>
  <si>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</si>
  <si>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Gravel base (4" depth)</t>
  </si>
  <si>
    <t>Tons</t>
  </si>
  <si>
    <t>Wire mesh (6x6)</t>
  </si>
  <si>
    <t>SF</t>
  </si>
  <si>
    <t>Expansion joint material</t>
  </si>
  <si>
    <t>LF</t>
  </si>
  <si>
    <t>Form lumber &amp; stakes</t>
  </si>
  <si>
    <t>Lot</t>
  </si>
  <si>
    <t>Decorative edge forms</t>
  </si>
  <si>
    <t>Sealer</t>
  </si>
  <si>
    <t>Gal</t>
  </si>
  <si>
    <t>Materials Subtotal</t>
  </si>
  <si>
    <t>LABOR</t>
  </si>
  <si>
    <t>Hours</t>
  </si>
  <si>
    <t>Rate</t>
  </si>
  <si>
    <t>Rate ($/hr)</t>
  </si>
  <si>
    <t>Site prep &amp; excavation</t>
  </si>
  <si>
    <t>Gravel base &amp; compaction</t>
  </si>
  <si>
    <t>Formwork (incl. curves)</t>
  </si>
  <si>
    <t>Mesh placement</t>
  </si>
  <si>
    <t>Concrete placement &amp; finish</t>
  </si>
  <si>
    <t>Decorative finishing</t>
  </si>
  <si>
    <t>Sealer application</t>
  </si>
  <si>
    <t>Cleanup</t>
  </si>
  <si>
    <t>Labor Subtotal</t>
  </si>
  <si>
    <t>EQUIPMENT</t>
  </si>
  <si>
    <t>Price</t>
  </si>
  <si>
    <t>Plate compactor</t>
  </si>
  <si>
    <t>Day</t>
  </si>
  <si>
    <t>Concrete vibrator</t>
  </si>
  <si>
    <t>Bull float / trowel</t>
  </si>
  <si>
    <t>Mobilization</t>
  </si>
  <si>
    <t>Trip</t>
  </si>
  <si>
    <t>Equipment Subtotal</t>
  </si>
  <si>
    <t>PROJECT-SPECIFIC OPTIONS</t>
  </si>
  <si>
    <t>Stamped concrete upgrade (per SF)</t>
  </si>
  <si>
    <t>Exposed aggregate finish (per SF)</t>
  </si>
  <si>
    <t>Integral color additive (per CY)</t>
  </si>
  <si>
    <t>Color hardener application (per SF)</t>
  </si>
  <si>
    <t>Decorative saw-cut pattern</t>
  </si>
  <si>
    <t>Step / landing addition (each)</t>
  </si>
  <si>
    <t>Seat wall / raised border (per LF)</t>
  </si>
  <si>
    <t>Fire pit pad (concrete base)</t>
  </si>
  <si>
    <t>French drain along patio edge (per LF)</t>
  </si>
  <si>
    <t>Retaining wall / grade change (per LF)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</si>
  <si>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</si>
  <si>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</si>
  <si>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</si>
  <si>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</si>
  <si>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</si>
  <si>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</si>
  <si>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</si>
  <si>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</si>
  <si>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</si>
  <si>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</si>
  <si>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</si>
  <si>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Access for concrete truck and equipment</t>
  </si>
  <si>
    <t>☐ Existing patio or deck removal needed</t>
  </si>
  <si>
    <t>☐ Slope away from house (min 1/4" per foot)</t>
  </si>
  <si>
    <t>☐ Drainage plan — where does water go?</t>
  </si>
  <si>
    <t>☐ Underground utilities (sprinklers, gas, electric)</t>
  </si>
  <si>
    <t>☐ Soil type and stability</t>
  </si>
  <si>
    <t>☐ Proximity to trees (root issues)</t>
  </si>
  <si>
    <t>☐ Fence gates wide enough for equipment</t>
  </si>
  <si>
    <t>☐ HOA requirements for materials/colors</t>
  </si>
  <si>
    <t>SCOPE EXCLUSIONS (Not Included)</t>
  </si>
  <si>
    <t>✗ Building permits and HOA approvals</t>
  </si>
  <si>
    <t>✗ Landscaping and planting restoration</t>
  </si>
  <si>
    <t>✗ Outdoor lighting or electrical</t>
  </si>
  <si>
    <t>✗ Patio furniture or accessories</t>
  </si>
  <si>
    <t>✗ Pergola or shade structure</t>
  </si>
  <si>
    <t>✗ Sprinkler system relocation</t>
  </si>
  <si>
    <t>✗ Fence removal and reinstallation</t>
  </si>
  <si>
    <t>✗ Drainage beyond patio perimeter</t>
  </si>
  <si>
    <t>CHANGE ORDERS</t>
  </si>
  <si>
    <t>Change Description</t>
  </si>
  <si>
    <t>Add/Remove</t>
  </si>
  <si>
    <t/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</si>
  <si>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</si>
  <si>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</si>
  <si>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</si>
  <si>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</si>
  <si>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structural cracking &gt;1/4", improper drainage toward house, settling.</t>
  </si>
  <si>
    <t>Warranty does NOT cover: hairline cracks (normal), color fading from UV exposure,</t>
  </si>
  <si>
    <t xml:space="preserve">  staining from patio furniture, chemical damage, freeze/thaw damage, acts of nature.</t>
  </si>
  <si>
    <t>DECORATIVE CONCRETE NOTES:</t>
  </si>
  <si>
    <t xml:space="preserve">  • Stamped patterns may show slight variation — this is the nature of hand-stamped concrete</t>
  </si>
  <si>
    <t xml:space="preserve">  • Integral color will have natural variation between batches</t>
  </si>
  <si>
    <t xml:space="preserve">  • Exposed aggregate finish varies with the aggregate in the mix</t>
  </si>
  <si>
    <t xml:space="preserve">  • Sealer should be reapplied every 1-2 years for decorative concrete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</si>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</sst>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4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5" borderId="1" xfId="0" applyFont="1" applyFill="1" applyBorder="1"/>
    <xf numFmtId="0" fontId="0" fillId="5" borderId="1" xfId="0" applyFill="1" applyBorder="1"/>
    <xf numFmtId="164" fontId="15" fillId="5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30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7" spans="1:2" x14ac:dyDescent="0.25">
      <c r="A17" s="5" t="s">
        <v>22</v>
      </c>
      <c r="B17" s="5"/>
    </row>
    <row r="18" spans="1:2" x14ac:dyDescent="0.25">
      <c r="A18" s="6" t="s">
        <v>23</v>
      </c>
      <c r="B18" s="6"/>
    </row>
    <row r="19" spans="1:2" x14ac:dyDescent="0.25">
      <c r="A19" s="7" t="s">
        <v>24</v>
      </c>
      <c r="B19" s="7"/>
    </row>
    <row r="21" spans="1:2" x14ac:dyDescent="0.25">
      <c r="A21" s="2" t="s">
        <v>25</v>
      </c>
      <c r="B21" s="2"/>
    </row>
    <row r="22" spans="1:2" x14ac:dyDescent="0.25">
      <c r="A22" s="8" t="s">
        <v>26</v>
      </c>
      <c r="B22" s="8"/>
    </row>
    <row r="23" spans="1:2" x14ac:dyDescent="0.25">
      <c r="A23" s="8" t="s">
        <v>27</v>
      </c>
      <c r="B23" s="8"/>
    </row>
    <row r="24" spans="1:2" x14ac:dyDescent="0.25">
      <c r="A24" s="8" t="s">
        <v>28</v>
      </c>
      <c r="B24" s="8"/>
    </row>
    <row r="25" spans="1:2" x14ac:dyDescent="0.25">
      <c r="A25" s="8" t="s">
        <v>29</v>
      </c>
      <c r="B25" s="8"/>
    </row>
    <row r="26" spans="1:2" x14ac:dyDescent="0.25">
      <c r="A26" s="8" t="s">
        <v>30</v>
      </c>
      <c r="B26" s="8"/>
    </row>
    <row r="27" spans="1:2" x14ac:dyDescent="0.25">
      <c r="A27" s="8" t="s">
        <v>31</v>
      </c>
      <c r="B27" s="8"/>
    </row>
    <row r="29" spans="1:2" x14ac:dyDescent="0.25">
      <c r="A29" s="9" t="s">
        <v>32</v>
      </c>
      <c r="B29" s="9"/>
    </row>
    <row r="30" spans="1:2" x14ac:dyDescent="0.25">
      <c r="A30" s="10" t="s">
        <v>33</v>
      </c>
      <c r="B30" s="10"/>
    </row>
  </sheetData>
  <mergeCells count="16">
    <mergeCell ref="A1:B1"/>
    <mergeCell ref="A3:B3"/>
    <mergeCell ref="A4:B4"/>
    <mergeCell ref="A6:B6"/>
    <mergeCell ref="A17:B17"/>
    <mergeCell ref="A18:B18"/>
    <mergeCell ref="A19:B19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8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1" t="s">
        <v>34</v>
      </c>
      <c r="B1" s="11"/>
      <c r="C1" s="11"/>
      <c r="D1" s="11"/>
      <c r="E1" s="11"/>
      <c r="F1" s="11"/>
    </row>
    <row r="2" spans="1:6" x14ac:dyDescent="0.25">
      <c r="A2" s="10" t="s">
        <v>35</v>
      </c>
      <c r="B2" s="10"/>
      <c r="C2" s="10"/>
      <c r="D2" s="10"/>
      <c r="E2" s="10"/>
      <c r="F2" s="10"/>
    </row>
    <row r="3" ht="25" customHeight="1" spans="1:6" x14ac:dyDescent="0.25">
      <c r="A3" s="12" t="s">
        <v>36</v>
      </c>
      <c r="B3" s="12"/>
      <c r="C3" s="12"/>
      <c r="D3" s="12"/>
      <c r="E3" s="12"/>
      <c r="F3" s="12"/>
    </row>
    <row r="4" spans="1:5" x14ac:dyDescent="0.25">
      <c r="A4" s="13" t="s">
        <v>37</v>
      </c>
      <c r="B4" t="s">
        <v>38</v>
      </c>
      <c r="D4" s="13" t="s">
        <v>39</v>
      </c>
      <c r="E4" t="s">
        <v>40</v>
      </c>
    </row>
    <row r="6" spans="1:1" x14ac:dyDescent="0.25">
      <c r="A6" s="14" t="s">
        <v>41</v>
      </c>
    </row>
    <row r="7" spans="1:2" x14ac:dyDescent="0.25">
      <c r="A7" s="13" t="s">
        <v>42</v>
      </c>
      <c r="B7" s="15" t="s">
        <v>43</v>
      </c>
    </row>
    <row r="8" spans="1:2" x14ac:dyDescent="0.25">
      <c r="A8" s="13" t="s">
        <v>44</v>
      </c>
      <c r="B8" s="15" t="s">
        <v>45</v>
      </c>
    </row>
    <row r="9" spans="1:2" x14ac:dyDescent="0.25">
      <c r="A9" s="13" t="s">
        <v>46</v>
      </c>
      <c r="B9" s="15" t="s">
        <v>47</v>
      </c>
    </row>
    <row r="10" spans="1:2" x14ac:dyDescent="0.25">
      <c r="A10" s="13" t="s">
        <v>48</v>
      </c>
      <c r="B10" s="15" t="s">
        <v>49</v>
      </c>
    </row>
    <row r="12" ht="22" customHeight="1" spans="1:5" x14ac:dyDescent="0.25">
      <c r="A12" s="16" t="s">
        <v>50</v>
      </c>
      <c r="B12" s="17" t="s">
        <v>51</v>
      </c>
      <c r="C12" s="17" t="s">
        <v>52</v>
      </c>
      <c r="D12" s="17" t="s">
        <v>53</v>
      </c>
      <c r="E12" s="17" t="s">
        <v>54</v>
      </c>
    </row>
    <row r="13" spans="1:5" x14ac:dyDescent="0.25">
      <c r="A13" s="18" t="s">
        <v>55</v>
      </c>
      <c r="B13" s="18" t="s">
        <v>51</v>
      </c>
      <c r="C13" s="18" t="s">
        <v>52</v>
      </c>
      <c r="D13" s="18" t="s">
        <v>53</v>
      </c>
      <c r="E13" s="18" t="s">
        <v>54</v>
      </c>
    </row>
    <row r="14" spans="1:5" x14ac:dyDescent="0.25">
      <c r="A14" s="19" t="s">
        <v>56</v>
      </c>
      <c r="B14" s="20">
        <v>8</v>
      </c>
      <c r="C14" s="19" t="s">
        <v>57</v>
      </c>
      <c r="D14" s="21">
        <v>155</v>
      </c>
      <c r="E14" s="22">
        <f>B14*D14</f>
      </c>
    </row>
    <row r="15" spans="1:5" x14ac:dyDescent="0.25">
      <c r="A15" s="19" t="s">
        <v>58</v>
      </c>
      <c r="B15" s="20">
        <v>6</v>
      </c>
      <c r="C15" s="19" t="s">
        <v>59</v>
      </c>
      <c r="D15" s="21">
        <v>35</v>
      </c>
      <c r="E15" s="22">
        <f>B15*D15</f>
      </c>
    </row>
    <row r="16" spans="1:5" x14ac:dyDescent="0.25">
      <c r="A16" s="19" t="s">
        <v>60</v>
      </c>
      <c r="B16" s="20">
        <v>500</v>
      </c>
      <c r="C16" s="19" t="s">
        <v>61</v>
      </c>
      <c r="D16" s="21">
        <v>0.45</v>
      </c>
      <c r="E16" s="22">
        <f>B16*D16</f>
      </c>
    </row>
    <row r="17" spans="1:5" x14ac:dyDescent="0.25">
      <c r="A17" s="19" t="s">
        <v>62</v>
      </c>
      <c r="B17" s="20">
        <v>40</v>
      </c>
      <c r="C17" s="19" t="s">
        <v>63</v>
      </c>
      <c r="D17" s="21">
        <v>2.5</v>
      </c>
      <c r="E17" s="22">
        <f>B17*D17</f>
      </c>
    </row>
    <row r="18" spans="1:5" x14ac:dyDescent="0.25">
      <c r="A18" s="19" t="s">
        <v>64</v>
      </c>
      <c r="B18" s="20">
        <v>1</v>
      </c>
      <c r="C18" s="19" t="s">
        <v>65</v>
      </c>
      <c r="D18" s="21">
        <v>300</v>
      </c>
      <c r="E18" s="22">
        <f>B18*D18</f>
      </c>
    </row>
    <row r="19" spans="1:5" x14ac:dyDescent="0.25">
      <c r="A19" s="19" t="s">
        <v>66</v>
      </c>
      <c r="B19" s="20">
        <v>40</v>
      </c>
      <c r="C19" s="19" t="s">
        <v>63</v>
      </c>
      <c r="D19" s="21">
        <v>3</v>
      </c>
      <c r="E19" s="22">
        <f>B19*D19</f>
      </c>
    </row>
    <row r="20" spans="1:5" x14ac:dyDescent="0.25">
      <c r="A20" s="19" t="s">
        <v>67</v>
      </c>
      <c r="B20" s="20">
        <v>6</v>
      </c>
      <c r="C20" s="19" t="s">
        <v>68</v>
      </c>
      <c r="D20" s="21">
        <v>28</v>
      </c>
      <c r="E20" s="22">
        <f>B20*D20</f>
      </c>
    </row>
    <row r="21" spans="1:5" x14ac:dyDescent="0.25">
      <c r="A21" s="18" t="s">
        <v>69</v>
      </c>
      <c r="B21" s="18"/>
      <c r="C21" s="18"/>
      <c r="D21" s="18"/>
      <c r="E21" s="23">
        <f>SUM(E14:E20)</f>
      </c>
    </row>
    <row r="23" ht="22" customHeight="1" spans="1:5" x14ac:dyDescent="0.25">
      <c r="A23" s="16" t="s">
        <v>70</v>
      </c>
      <c r="B23" s="17" t="s">
        <v>71</v>
      </c>
      <c r="C23" s="17"/>
      <c r="D23" s="17" t="s">
        <v>72</v>
      </c>
      <c r="E23" s="17" t="s">
        <v>54</v>
      </c>
    </row>
    <row r="24" spans="1:5" x14ac:dyDescent="0.25">
      <c r="A24" s="18" t="s">
        <v>55</v>
      </c>
      <c r="B24" s="18" t="s">
        <v>71</v>
      </c>
      <c r="C24" s="18"/>
      <c r="D24" s="18" t="s">
        <v>73</v>
      </c>
      <c r="E24" s="18" t="s">
        <v>54</v>
      </c>
    </row>
    <row r="25" spans="1:5" x14ac:dyDescent="0.25">
      <c r="A25" s="19" t="s">
        <v>74</v>
      </c>
      <c r="B25" s="20">
        <v>10</v>
      </c>
      <c r="C25" s="19"/>
      <c r="D25" s="21">
        <v>55</v>
      </c>
      <c r="E25" s="22">
        <f>B25*D25</f>
      </c>
    </row>
    <row r="26" spans="1:5" x14ac:dyDescent="0.25">
      <c r="A26" s="19" t="s">
        <v>75</v>
      </c>
      <c r="B26" s="20">
        <v>6</v>
      </c>
      <c r="C26" s="19"/>
      <c r="D26" s="21">
        <v>50</v>
      </c>
      <c r="E26" s="22">
        <f>B26*D26</f>
      </c>
    </row>
    <row r="27" spans="1:5" x14ac:dyDescent="0.25">
      <c r="A27" s="19" t="s">
        <v>76</v>
      </c>
      <c r="B27" s="20">
        <v>8</v>
      </c>
      <c r="C27" s="19"/>
      <c r="D27" s="21">
        <v>55</v>
      </c>
      <c r="E27" s="22">
        <f>B27*D27</f>
      </c>
    </row>
    <row r="28" spans="1:5" x14ac:dyDescent="0.25">
      <c r="A28" s="19" t="s">
        <v>77</v>
      </c>
      <c r="B28" s="20">
        <v>4</v>
      </c>
      <c r="C28" s="19"/>
      <c r="D28" s="21">
        <v>55</v>
      </c>
      <c r="E28" s="22">
        <f>B28*D28</f>
      </c>
    </row>
    <row r="29" spans="1:5" x14ac:dyDescent="0.25">
      <c r="A29" s="19" t="s">
        <v>78</v>
      </c>
      <c r="B29" s="20">
        <v>12</v>
      </c>
      <c r="C29" s="19"/>
      <c r="D29" s="21">
        <v>65</v>
      </c>
      <c r="E29" s="22">
        <f>B29*D29</f>
      </c>
    </row>
    <row r="30" spans="1:5" x14ac:dyDescent="0.25">
      <c r="A30" s="19" t="s">
        <v>79</v>
      </c>
      <c r="B30" s="20">
        <v>6</v>
      </c>
      <c r="C30" s="19"/>
      <c r="D30" s="21">
        <v>60</v>
      </c>
      <c r="E30" s="22">
        <f>B30*D30</f>
      </c>
    </row>
    <row r="31" spans="1:5" x14ac:dyDescent="0.25">
      <c r="A31" s="19" t="s">
        <v>80</v>
      </c>
      <c r="B31" s="20">
        <v>3</v>
      </c>
      <c r="C31" s="19"/>
      <c r="D31" s="21">
        <v>45</v>
      </c>
      <c r="E31" s="22">
        <f>B31*D31</f>
      </c>
    </row>
    <row r="32" spans="1:5" x14ac:dyDescent="0.25">
      <c r="A32" s="19" t="s">
        <v>81</v>
      </c>
      <c r="B32" s="20">
        <v>4</v>
      </c>
      <c r="C32" s="19"/>
      <c r="D32" s="21">
        <v>45</v>
      </c>
      <c r="E32" s="22">
        <f>B32*D32</f>
      </c>
    </row>
    <row r="33" spans="1:5" x14ac:dyDescent="0.25">
      <c r="A33" s="18" t="s">
        <v>82</v>
      </c>
      <c r="B33" s="18"/>
      <c r="C33" s="18"/>
      <c r="D33" s="18"/>
      <c r="E33" s="23">
        <f>SUM(E25:E32)</f>
      </c>
    </row>
    <row r="35" ht="22" customHeight="1" spans="1:5" x14ac:dyDescent="0.25">
      <c r="A35" s="16" t="s">
        <v>83</v>
      </c>
      <c r="B35" s="17" t="s">
        <v>51</v>
      </c>
      <c r="C35" s="17" t="s">
        <v>52</v>
      </c>
      <c r="D35" s="17" t="s">
        <v>84</v>
      </c>
      <c r="E35" s="17" t="s">
        <v>54</v>
      </c>
    </row>
    <row r="36" spans="1:5" x14ac:dyDescent="0.25">
      <c r="A36" s="18" t="s">
        <v>55</v>
      </c>
      <c r="B36" s="18" t="s">
        <v>51</v>
      </c>
      <c r="C36" s="18" t="s">
        <v>52</v>
      </c>
      <c r="D36" s="18" t="s">
        <v>84</v>
      </c>
      <c r="E36" s="18" t="s">
        <v>54</v>
      </c>
    </row>
    <row r="37" spans="1:5" x14ac:dyDescent="0.25">
      <c r="A37" s="19" t="s">
        <v>85</v>
      </c>
      <c r="B37" s="20">
        <v>1</v>
      </c>
      <c r="C37" s="19" t="s">
        <v>86</v>
      </c>
      <c r="D37" s="21">
        <v>125</v>
      </c>
      <c r="E37" s="22">
        <f>B37*D37</f>
      </c>
    </row>
    <row r="38" spans="1:5" x14ac:dyDescent="0.25">
      <c r="A38" s="19" t="s">
        <v>87</v>
      </c>
      <c r="B38" s="20">
        <v>1</v>
      </c>
      <c r="C38" s="19" t="s">
        <v>86</v>
      </c>
      <c r="D38" s="21">
        <v>85</v>
      </c>
      <c r="E38" s="22">
        <f>B38*D38</f>
      </c>
    </row>
    <row r="39" spans="1:5" x14ac:dyDescent="0.25">
      <c r="A39" s="19" t="s">
        <v>88</v>
      </c>
      <c r="B39" s="20">
        <v>1</v>
      </c>
      <c r="C39" s="19" t="s">
        <v>86</v>
      </c>
      <c r="D39" s="21">
        <v>100</v>
      </c>
      <c r="E39" s="22">
        <f>B39*D39</f>
      </c>
    </row>
    <row r="40" spans="1:5" x14ac:dyDescent="0.25">
      <c r="A40" s="19" t="s">
        <v>89</v>
      </c>
      <c r="B40" s="20">
        <v>1</v>
      </c>
      <c r="C40" s="19" t="s">
        <v>90</v>
      </c>
      <c r="D40" s="21">
        <v>250</v>
      </c>
      <c r="E40" s="22">
        <f>B40*D40</f>
      </c>
    </row>
    <row r="41" spans="1:5" x14ac:dyDescent="0.25">
      <c r="A41" s="18" t="s">
        <v>91</v>
      </c>
      <c r="B41" s="18"/>
      <c r="C41" s="18"/>
      <c r="D41" s="18"/>
      <c r="E41" s="23">
        <f>SUM(E37:E40)</f>
      </c>
    </row>
    <row r="43" ht="22" customHeight="1" spans="1:5" x14ac:dyDescent="0.25">
      <c r="A43" s="16" t="s">
        <v>92</v>
      </c>
      <c r="B43" s="17"/>
      <c r="C43" s="17"/>
      <c r="D43" s="17"/>
      <c r="E43" s="17"/>
    </row>
    <row r="44" spans="1:5" x14ac:dyDescent="0.25">
      <c r="A44" s="19" t="s">
        <v>93</v>
      </c>
      <c r="B44" s="20"/>
      <c r="C44" s="19"/>
      <c r="D44" s="21"/>
      <c r="E44" s="22">
        <f>B44*D44</f>
      </c>
    </row>
    <row r="45" spans="1:5" x14ac:dyDescent="0.25">
      <c r="A45" s="19" t="s">
        <v>94</v>
      </c>
      <c r="B45" s="20"/>
      <c r="C45" s="19"/>
      <c r="D45" s="21"/>
      <c r="E45" s="22">
        <f>B45*D45</f>
      </c>
    </row>
    <row r="46" spans="1:5" x14ac:dyDescent="0.25">
      <c r="A46" s="19" t="s">
        <v>95</v>
      </c>
      <c r="B46" s="20"/>
      <c r="C46" s="19"/>
      <c r="D46" s="21"/>
      <c r="E46" s="22">
        <f>B46*D46</f>
      </c>
    </row>
    <row r="47" spans="1:5" x14ac:dyDescent="0.25">
      <c r="A47" s="19" t="s">
        <v>96</v>
      </c>
      <c r="B47" s="20"/>
      <c r="C47" s="19"/>
      <c r="D47" s="21"/>
      <c r="E47" s="22">
        <f>B47*D47</f>
      </c>
    </row>
    <row r="48" spans="1:5" x14ac:dyDescent="0.25">
      <c r="A48" s="19" t="s">
        <v>97</v>
      </c>
      <c r="B48" s="20"/>
      <c r="C48" s="19"/>
      <c r="D48" s="21"/>
      <c r="E48" s="22">
        <f>B48*D48</f>
      </c>
    </row>
    <row r="49" spans="1:5" x14ac:dyDescent="0.25">
      <c r="A49" s="19" t="s">
        <v>98</v>
      </c>
      <c r="B49" s="20"/>
      <c r="C49" s="19"/>
      <c r="D49" s="21"/>
      <c r="E49" s="22">
        <f>B49*D49</f>
      </c>
    </row>
    <row r="50" spans="1:5" x14ac:dyDescent="0.25">
      <c r="A50" s="19" t="s">
        <v>99</v>
      </c>
      <c r="B50" s="20"/>
      <c r="C50" s="19"/>
      <c r="D50" s="21"/>
      <c r="E50" s="22">
        <f>B50*D50</f>
      </c>
    </row>
    <row r="51" spans="1:5" x14ac:dyDescent="0.25">
      <c r="A51" s="19" t="s">
        <v>100</v>
      </c>
      <c r="B51" s="20"/>
      <c r="C51" s="19"/>
      <c r="D51" s="21"/>
      <c r="E51" s="22">
        <f>B51*D51</f>
      </c>
    </row>
    <row r="52" spans="1:5" x14ac:dyDescent="0.25">
      <c r="A52" s="19" t="s">
        <v>101</v>
      </c>
      <c r="B52" s="20"/>
      <c r="C52" s="19"/>
      <c r="D52" s="21"/>
      <c r="E52" s="22">
        <f>B52*D52</f>
      </c>
    </row>
    <row r="53" spans="1:5" x14ac:dyDescent="0.25">
      <c r="A53" s="19" t="s">
        <v>102</v>
      </c>
      <c r="B53" s="20"/>
      <c r="C53" s="19"/>
      <c r="D53" s="21"/>
      <c r="E53" s="22">
        <f>B53*D53</f>
      </c>
    </row>
    <row r="54" spans="1:5" x14ac:dyDescent="0.25">
      <c r="A54" s="18" t="s">
        <v>103</v>
      </c>
      <c r="B54" s="18"/>
      <c r="C54" s="18"/>
      <c r="D54" s="18"/>
      <c r="E54" s="23">
        <f>SUM(E44:E53)</f>
      </c>
    </row>
    <row r="56" ht="22" customHeight="1" spans="1:5" x14ac:dyDescent="0.25">
      <c r="A56" s="16" t="s">
        <v>104</v>
      </c>
      <c r="B56" s="17"/>
      <c r="C56" s="17"/>
      <c r="D56" s="17"/>
      <c r="E56" s="17"/>
    </row>
    <row r="57" spans="1:5" x14ac:dyDescent="0.25">
      <c r="A57" s="19" t="s">
        <v>105</v>
      </c>
      <c r="B57" s="19"/>
      <c r="C57" s="19"/>
      <c r="D57" s="19"/>
      <c r="E57" s="22">
        <f>E21</f>
      </c>
    </row>
    <row r="58" spans="1:5" x14ac:dyDescent="0.25">
      <c r="A58" s="19" t="s">
        <v>106</v>
      </c>
      <c r="B58" s="19"/>
      <c r="C58" s="19"/>
      <c r="D58" s="19"/>
      <c r="E58" s="22">
        <f>E33</f>
      </c>
    </row>
    <row r="59" spans="1:5" x14ac:dyDescent="0.25">
      <c r="A59" s="19" t="s">
        <v>107</v>
      </c>
      <c r="B59" s="19"/>
      <c r="C59" s="19"/>
      <c r="D59" s="19"/>
      <c r="E59" s="22">
        <f>E41</f>
      </c>
    </row>
    <row r="60" spans="1:5" x14ac:dyDescent="0.25">
      <c r="A60" s="19" t="s">
        <v>108</v>
      </c>
      <c r="B60" s="19"/>
      <c r="C60" s="19"/>
      <c r="D60" s="19"/>
      <c r="E60" s="22">
        <f>E54</f>
      </c>
    </row>
    <row r="61" spans="1:5" x14ac:dyDescent="0.25">
      <c r="A61" s="18" t="s">
        <v>109</v>
      </c>
      <c r="B61" s="18"/>
      <c r="C61" s="18"/>
      <c r="D61" s="18"/>
      <c r="E61" s="23">
        <f>E57+E58+E59+E60</f>
      </c>
    </row>
    <row r="62" spans="1:5" x14ac:dyDescent="0.25">
      <c r="A62" s="24" t="s">
        <v>110</v>
      </c>
      <c r="B62" s="25">
        <v>0.1</v>
      </c>
      <c r="C62" s="19"/>
      <c r="D62" s="19"/>
      <c r="E62" s="22">
        <f>E61*B62</f>
      </c>
    </row>
    <row r="63" spans="1:5" x14ac:dyDescent="0.25">
      <c r="A63" s="24" t="s">
        <v>111</v>
      </c>
      <c r="B63" s="25">
        <v>0.15</v>
      </c>
      <c r="C63" s="19"/>
      <c r="D63" s="19"/>
      <c r="E63" s="22">
        <f>(E61+E62)*B63</f>
      </c>
    </row>
    <row r="64" ht="28" customHeight="1" spans="1:5" x14ac:dyDescent="0.25">
      <c r="A64" s="26" t="s">
        <v>112</v>
      </c>
      <c r="B64" s="27"/>
      <c r="C64" s="27"/>
      <c r="D64" s="27"/>
      <c r="E64" s="28">
        <f>E61+E62+E63</f>
      </c>
    </row>
    <row r="66" ht="22" customHeight="1" spans="1:5" x14ac:dyDescent="0.25">
      <c r="A66" s="16" t="s">
        <v>113</v>
      </c>
      <c r="B66" s="17"/>
      <c r="C66" s="17"/>
      <c r="D66" s="17"/>
      <c r="E66" s="17"/>
    </row>
    <row r="67" spans="1:5" x14ac:dyDescent="0.25">
      <c r="A67" s="29" t="s">
        <v>114</v>
      </c>
      <c r="B67" s="20"/>
      <c r="C67" s="20"/>
      <c r="D67" s="20"/>
      <c r="E67" s="20"/>
    </row>
    <row r="68" spans="1:5" x14ac:dyDescent="0.25">
      <c r="A68" s="29" t="s">
        <v>115</v>
      </c>
      <c r="B68" s="20"/>
      <c r="C68" s="20"/>
      <c r="D68" s="20"/>
      <c r="E68" s="20"/>
    </row>
    <row r="69" spans="1:5" x14ac:dyDescent="0.25">
      <c r="A69" s="29" t="s">
        <v>116</v>
      </c>
      <c r="B69" s="20"/>
      <c r="C69" s="20"/>
      <c r="D69" s="20"/>
      <c r="E69" s="20"/>
    </row>
    <row r="70" spans="1:5" x14ac:dyDescent="0.25">
      <c r="A70" s="29" t="s">
        <v>117</v>
      </c>
      <c r="B70" s="20"/>
      <c r="C70" s="20"/>
      <c r="D70" s="20"/>
      <c r="E70" s="20"/>
    </row>
    <row r="71" spans="1:5" x14ac:dyDescent="0.25">
      <c r="A71" s="29" t="s">
        <v>118</v>
      </c>
      <c r="B71" s="20"/>
      <c r="C71" s="20"/>
      <c r="D71" s="20"/>
      <c r="E71" s="20"/>
    </row>
    <row r="72" spans="1:5" x14ac:dyDescent="0.25">
      <c r="A72" s="29" t="s">
        <v>119</v>
      </c>
      <c r="B72" s="20"/>
      <c r="C72" s="20"/>
      <c r="D72" s="20"/>
      <c r="E72" s="20"/>
    </row>
    <row r="73" spans="1:5" x14ac:dyDescent="0.25">
      <c r="A73" s="29" t="s">
        <v>120</v>
      </c>
      <c r="B73" s="20"/>
      <c r="C73" s="20"/>
      <c r="D73" s="20"/>
      <c r="E73" s="20"/>
    </row>
    <row r="74" spans="1:5" x14ac:dyDescent="0.25">
      <c r="A74" s="29" t="s">
        <v>121</v>
      </c>
      <c r="B74" s="20"/>
      <c r="C74" s="20"/>
      <c r="D74" s="20"/>
      <c r="E74" s="20"/>
    </row>
    <row r="75" spans="1:5" x14ac:dyDescent="0.25">
      <c r="A75" s="29" t="s">
        <v>122</v>
      </c>
      <c r="B75" s="20"/>
      <c r="C75" s="20"/>
      <c r="D75" s="20"/>
      <c r="E75" s="20"/>
    </row>
    <row r="77" ht="22" customHeight="1" spans="1:5" x14ac:dyDescent="0.25">
      <c r="A77" s="16" t="s">
        <v>123</v>
      </c>
      <c r="B77" s="17"/>
      <c r="C77" s="17"/>
      <c r="D77" s="17"/>
      <c r="E77" s="17"/>
    </row>
    <row r="78" spans="1:5" x14ac:dyDescent="0.25">
      <c r="A78" s="30" t="s">
        <v>124</v>
      </c>
      <c r="B78" s="30"/>
      <c r="C78" s="30"/>
      <c r="D78" s="30"/>
      <c r="E78" s="30"/>
    </row>
    <row r="79" spans="1:5" x14ac:dyDescent="0.25">
      <c r="A79" s="30" t="s">
        <v>125</v>
      </c>
      <c r="B79" s="30"/>
      <c r="C79" s="30"/>
      <c r="D79" s="30"/>
      <c r="E79" s="30"/>
    </row>
    <row r="80" spans="1:5" x14ac:dyDescent="0.25">
      <c r="A80" s="30" t="s">
        <v>126</v>
      </c>
      <c r="B80" s="30"/>
      <c r="C80" s="30"/>
      <c r="D80" s="30"/>
      <c r="E80" s="30"/>
    </row>
    <row r="81" spans="1:5" x14ac:dyDescent="0.25">
      <c r="A81" s="30" t="s">
        <v>127</v>
      </c>
      <c r="B81" s="30"/>
      <c r="C81" s="30"/>
      <c r="D81" s="30"/>
      <c r="E81" s="30"/>
    </row>
    <row r="82" spans="1:5" x14ac:dyDescent="0.25">
      <c r="A82" s="30" t="s">
        <v>128</v>
      </c>
      <c r="B82" s="30"/>
      <c r="C82" s="30"/>
      <c r="D82" s="30"/>
      <c r="E82" s="30"/>
    </row>
    <row r="83" spans="1:5" x14ac:dyDescent="0.25">
      <c r="A83" s="30" t="s">
        <v>129</v>
      </c>
      <c r="B83" s="30"/>
      <c r="C83" s="30"/>
      <c r="D83" s="30"/>
      <c r="E83" s="30"/>
    </row>
    <row r="84" spans="1:5" x14ac:dyDescent="0.25">
      <c r="A84" s="30" t="s">
        <v>130</v>
      </c>
      <c r="B84" s="30"/>
      <c r="C84" s="30"/>
      <c r="D84" s="30"/>
      <c r="E84" s="30"/>
    </row>
    <row r="85" spans="1:5" x14ac:dyDescent="0.25">
      <c r="A85" s="30" t="s">
        <v>131</v>
      </c>
      <c r="B85" s="30"/>
      <c r="C85" s="30"/>
      <c r="D85" s="30"/>
      <c r="E85" s="30"/>
    </row>
    <row r="87" ht="22" customHeight="1" spans="1:5" x14ac:dyDescent="0.25">
      <c r="A87" s="16" t="s">
        <v>132</v>
      </c>
      <c r="B87" s="17"/>
      <c r="C87" s="17"/>
      <c r="D87" s="17"/>
      <c r="E87" s="17"/>
    </row>
    <row r="88" spans="1:5" x14ac:dyDescent="0.25">
      <c r="A88" s="18" t="s">
        <v>133</v>
      </c>
      <c r="B88" s="18" t="s">
        <v>134</v>
      </c>
      <c r="C88" s="18" t="s">
        <v>135</v>
      </c>
      <c r="D88" s="18" t="s">
        <v>136</v>
      </c>
      <c r="E88" s="18" t="s">
        <v>137</v>
      </c>
    </row>
    <row r="89" spans="1:5" x14ac:dyDescent="0.25">
      <c r="A89" s="20"/>
      <c r="B89" s="20"/>
      <c r="C89" s="19"/>
      <c r="D89" s="21"/>
      <c r="E89" s="20"/>
    </row>
    <row r="90" spans="1:5" x14ac:dyDescent="0.25">
      <c r="A90" s="20"/>
      <c r="B90" s="20"/>
      <c r="C90" s="19"/>
      <c r="D90" s="21"/>
      <c r="E90" s="20"/>
    </row>
    <row r="91" spans="1:5" x14ac:dyDescent="0.25">
      <c r="A91" s="20"/>
      <c r="B91" s="20"/>
      <c r="C91" s="19"/>
      <c r="D91" s="21"/>
      <c r="E91" s="20"/>
    </row>
    <row r="92" spans="1:5" x14ac:dyDescent="0.25">
      <c r="A92" s="20"/>
      <c r="B92" s="20"/>
      <c r="C92" s="19"/>
      <c r="D92" s="21"/>
      <c r="E92" s="20"/>
    </row>
    <row r="93" spans="1:5" x14ac:dyDescent="0.25">
      <c r="A93" s="20"/>
      <c r="B93" s="20"/>
      <c r="C93" s="19"/>
      <c r="D93" s="21"/>
      <c r="E93" s="20"/>
    </row>
    <row r="95" ht="22" customHeight="1" spans="1:5" x14ac:dyDescent="0.25">
      <c r="A95" s="16" t="s">
        <v>138</v>
      </c>
      <c r="B95" s="17"/>
      <c r="C95" s="17"/>
      <c r="D95" s="17"/>
      <c r="E95" s="17"/>
    </row>
    <row r="96" spans="1:5" x14ac:dyDescent="0.25">
      <c r="A96" s="31" t="s">
        <v>139</v>
      </c>
      <c r="B96" s="31"/>
      <c r="C96" s="31"/>
      <c r="D96" s="31"/>
      <c r="E96" s="31"/>
    </row>
    <row r="97" spans="1:5" x14ac:dyDescent="0.25">
      <c r="A97" s="31" t="s">
        <v>140</v>
      </c>
      <c r="B97" s="31"/>
      <c r="C97" s="31"/>
      <c r="D97" s="31"/>
      <c r="E97" s="31"/>
    </row>
    <row r="98" spans="1:5" x14ac:dyDescent="0.25">
      <c r="A98" s="31" t="s">
        <v>141</v>
      </c>
      <c r="B98" s="31"/>
      <c r="C98" s="31"/>
      <c r="D98" s="31"/>
      <c r="E98" s="31"/>
    </row>
    <row r="99" spans="1:5" x14ac:dyDescent="0.25">
      <c r="A99" s="31" t="s">
        <v>142</v>
      </c>
      <c r="B99" s="31"/>
      <c r="C99" s="31"/>
      <c r="D99" s="31"/>
      <c r="E99" s="31"/>
    </row>
    <row r="100" spans="1:5" x14ac:dyDescent="0.25">
      <c r="A100" s="31" t="s">
        <v>143</v>
      </c>
      <c r="B100" s="31"/>
      <c r="C100" s="31"/>
      <c r="D100" s="31"/>
      <c r="E100" s="31"/>
    </row>
    <row r="101" spans="1:5" x14ac:dyDescent="0.25">
      <c r="A101" s="31" t="s">
        <v>144</v>
      </c>
      <c r="B101" s="31"/>
      <c r="C101" s="31"/>
      <c r="D101" s="31"/>
      <c r="E101" s="31"/>
    </row>
    <row r="102" spans="1:5" x14ac:dyDescent="0.25">
      <c r="A102" s="31" t="s">
        <v>145</v>
      </c>
      <c r="B102" s="31"/>
      <c r="C102" s="31"/>
      <c r="D102" s="31"/>
      <c r="E102" s="31"/>
    </row>
    <row r="103" spans="1:5" x14ac:dyDescent="0.25">
      <c r="A103" s="31" t="s">
        <v>146</v>
      </c>
      <c r="B103" s="31"/>
      <c r="C103" s="31"/>
      <c r="D103" s="31"/>
      <c r="E103" s="31"/>
    </row>
    <row r="104" spans="1:5" x14ac:dyDescent="0.25">
      <c r="A104" s="31" t="s">
        <v>147</v>
      </c>
      <c r="B104" s="31"/>
      <c r="C104" s="31"/>
      <c r="D104" s="31"/>
      <c r="E104" s="31"/>
    </row>
    <row r="106" spans="1:1" x14ac:dyDescent="0.25">
      <c r="A106" s="32" t="s">
        <v>148</v>
      </c>
    </row>
    <row r="107" spans="1:1" x14ac:dyDescent="0.25">
      <c r="A107" t="s">
        <v>149</v>
      </c>
    </row>
    <row r="108" spans="1:1" x14ac:dyDescent="0.25">
      <c r="A108" t="s">
        <v>150</v>
      </c>
    </row>
    <row r="109" spans="1:1" x14ac:dyDescent="0.25">
      <c r="A109" t="s">
        <v>151</v>
      </c>
    </row>
    <row r="111" spans="1:1" x14ac:dyDescent="0.25">
      <c r="A111" s="13" t="s">
        <v>152</v>
      </c>
    </row>
    <row r="112" spans="1:5" x14ac:dyDescent="0.25">
      <c r="A112" t="s">
        <v>153</v>
      </c>
      <c r="B112"/>
      <c r="C112"/>
      <c r="D112"/>
      <c r="E112"/>
    </row>
    <row r="113" spans="1:5" x14ac:dyDescent="0.25">
      <c r="A113" t="s">
        <v>154</v>
      </c>
      <c r="B113"/>
      <c r="C113"/>
      <c r="D113"/>
      <c r="E113"/>
    </row>
    <row r="115" spans="1:1" x14ac:dyDescent="0.25">
      <c r="A115" t="s">
        <v>155</v>
      </c>
    </row>
    <row r="116" spans="1:1" x14ac:dyDescent="0.25">
      <c r="A116" t="s">
        <v>156</v>
      </c>
    </row>
    <row r="118" spans="1:1" x14ac:dyDescent="0.25">
      <c r="A118" s="33" t="s">
        <v>157</v>
      </c>
    </row>
  </sheetData>
  <mergeCells count="31">
    <mergeCell ref="A1:F1"/>
    <mergeCell ref="A2:F2"/>
    <mergeCell ref="A3:F3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A78:E78"/>
    <mergeCell ref="A79:E79"/>
    <mergeCell ref="A80:E80"/>
    <mergeCell ref="A81:E81"/>
    <mergeCell ref="A82:E82"/>
    <mergeCell ref="A83:E83"/>
    <mergeCell ref="A84:E84"/>
    <mergeCell ref="A85:E8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12:E112"/>
    <mergeCell ref="A113:E113"/>
  </mergeCells>
  <dataValidations count="2">
    <dataValidation type="list" allowBlank="1" sqref="B62">
      <formula1>"8%,10%,12%,15%"</formula1>
    </dataValidation>
    <dataValidation type="list" allowBlank="1" sqref="B63">
      <formula1>"10%,15%,20%,25%,30%,35%"</formula1>
    </dataValidation>
  </dataValidations>
  <pageSetup paperSize="1" orientation="portrait" fitToWidth="1" fitToHeight="0"/>
  <headerFooter>
    <oddFooter>EstimateConcrete.com — Professional Concrete Estimating Tools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How to Use</vt:lpstr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2026-03-08T12:13:38Z</dcterms:created>
  <dcterms:modified xsi:type="dcterms:W3CDTF">2026-03-08T12:13:38Z</dcterms:modified>
</cp:coreProperties>
</file>